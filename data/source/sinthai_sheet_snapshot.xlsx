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KU Price Comparison" sheetId="1" r:id="rId5"/>
    <sheet state="visible" name="Instructions" sheetId="2" r:id="rId6"/>
    <sheet state="visible" name="Reference" sheetId="3" r:id="rId7"/>
  </sheets>
  <definedNames>
    <definedName hidden="1" localSheetId="0" name="_xlnm._FilterDatabase">'SKU Price Comparison'!$A$1:$T$125</definedName>
    <definedName hidden="1" localSheetId="2" name="_xlnm._FilterDatabase">Reference!$A$38:$J$69</definedName>
  </definedNames>
  <calcPr/>
</workbook>
</file>

<file path=xl/sharedStrings.xml><?xml version="1.0" encoding="utf-8"?>
<sst xmlns="http://schemas.openxmlformats.org/spreadsheetml/2006/main" count="1974" uniqueCount="541">
  <si>
    <t>How to Use This File</t>
  </si>
  <si>
    <t>Reference and Recheck Log</t>
  </si>
  <si>
    <t>1. Fill product details in each row by SKU.</t>
  </si>
  <si>
    <t>2. Enter retail prices from Lotus, Makro, and BigC.</t>
  </si>
  <si>
    <t>3. Lowest/Highest/Difference columns calculate automatically.</t>
  </si>
  <si>
    <t>4. Use Excel Filters to compare categories, brands, or vendors.</t>
  </si>
  <si>
    <t>5. Priority column can be used to track urgent pricing gaps.</t>
  </si>
  <si>
    <t>Category</t>
  </si>
  <si>
    <t>Generated</t>
  </si>
  <si>
    <t>Source workbook</t>
  </si>
  <si>
    <t>Subcategory</t>
  </si>
  <si>
    <t>Brand</t>
  </si>
  <si>
    <t>Product Name</t>
  </si>
  <si>
    <t>Pack Size</t>
  </si>
  <si>
    <t>Unit</t>
  </si>
  <si>
    <t>Barcode</t>
  </si>
  <si>
    <t>SKU Code</t>
  </si>
  <si>
    <t>Price</t>
  </si>
  <si>
    <t>สินไทยพาณิชย์_Brand_Search_Template_completed.xlsx</t>
  </si>
  <si>
    <t>Lotus Price</t>
  </si>
  <si>
    <t>Google Sheet cleaned by brand sort</t>
  </si>
  <si>
    <t>Makro Price</t>
  </si>
  <si>
    <t>BigC Price</t>
  </si>
  <si>
    <t>Lowest Price</t>
  </si>
  <si>
    <t>Vendor</t>
  </si>
  <si>
    <t>Highest Price</t>
  </si>
  <si>
    <t>URL / Search Link</t>
  </si>
  <si>
    <t>Match Type</t>
  </si>
  <si>
    <t>Last Checked</t>
  </si>
  <si>
    <t>Price Difference</t>
  </si>
  <si>
    <t>Status</t>
  </si>
  <si>
    <t>Source Note</t>
  </si>
  <si>
    <t>% Difference</t>
  </si>
  <si>
    <t>SKU004</t>
  </si>
  <si>
    <t>Coca-Cola</t>
  </si>
  <si>
    <t>Closest Match Vendor</t>
  </si>
  <si>
    <t>Coke Original 1.5L x 12 units</t>
  </si>
  <si>
    <t>BigC</t>
  </si>
  <si>
    <t>Reference Vendor</t>
  </si>
  <si>
    <t>Priority</t>
  </si>
  <si>
    <t>https://www.bigc.co.th/shop/coca-cola/group/shop-coca-cola-brand-coke</t>
  </si>
  <si>
    <t>Remarks</t>
  </si>
  <si>
    <t>Health</t>
  </si>
  <si>
    <t>Analgesic</t>
  </si>
  <si>
    <t>Official/closest category page</t>
  </si>
  <si>
    <t>Needs Manual Review</t>
  </si>
  <si>
    <t>BigC official Coke 1.5L x12 THB330; exact product page may vary by listing.</t>
  </si>
  <si>
    <t>ซาร่า</t>
  </si>
  <si>
    <t>ซาร่า(กล่อง20แผง)</t>
  </si>
  <si>
    <t>Lotus</t>
  </si>
  <si>
    <t>https://www.lotuss.com/en/product/coke-soft-drink-original-15l-x-12pcs-clubpack-168688528</t>
  </si>
  <si>
    <t>strips</t>
  </si>
  <si>
    <t>SKU079</t>
  </si>
  <si>
    <t>Official exact pack</t>
  </si>
  <si>
    <t>Verified</t>
  </si>
  <si>
    <t>Lotus official COKE 1.5 LT. PACK 12 THB341.</t>
  </si>
  <si>
    <t>Makro</t>
  </si>
  <si>
    <t>https://www.google.com/search?q=Coke+Original+1.5L+x+12+units+Makro+ราคา</t>
  </si>
  <si>
    <t>Search link</t>
  </si>
  <si>
    <t>Missing Exact Match</t>
  </si>
  <si>
    <t>Makro exact 1.5L x12 not found.</t>
  </si>
  <si>
    <t>SKU005</t>
  </si>
  <si>
    <t>Coke Original 2 L x 6 units</t>
  </si>
  <si>
    <t>https://www.bigc.co.th/product/coca-cola-coke-soft-drink-original-taste-less-sugar-1-9-l-6-bottles-8851959629017.70904</t>
  </si>
  <si>
    <t>Reference</t>
  </si>
  <si>
    <t>Closest comparable</t>
  </si>
  <si>
    <t>BigC closest comparable Coke Original 1.95L x6 THB213; exact 2L x6 not found.</t>
  </si>
  <si>
    <t>SKU014</t>
  </si>
  <si>
    <t>Coke Original 240ml x 12 units</t>
  </si>
  <si>
    <t>https://www.makro.pro/en/p/kz8iaf5-7078660309187</t>
  </si>
  <si>
    <t>ซาร่าเม็ดรี(กล่อง20แผง)</t>
  </si>
  <si>
    <t>SKU080</t>
  </si>
  <si>
    <t>Makro closest comparable Coke Original 250ml x12 THB149; exact 240ml x12 not found.</t>
  </si>
  <si>
    <t>SKU001</t>
  </si>
  <si>
    <t>Coke Original 325ml x 24 units</t>
  </si>
  <si>
    <t>https://www.google.com/search?q=Coke+Original+325ml+x+24+units+Lotus+ราคา</t>
  </si>
  <si>
    <t>Beverage</t>
  </si>
  <si>
    <t>Vitamin Drink</t>
  </si>
  <si>
    <t>Original sample data retained from template.</t>
  </si>
  <si>
    <t>ซีวิต</t>
  </si>
  <si>
    <t>ซี-วิต เครื่องดื่มวิตามินซี รสทับทิม 140 มล.</t>
  </si>
  <si>
    <t>https://www.google.com/search?q=Coke+Original+325ml+x+24+units+Makro+ราคา</t>
  </si>
  <si>
    <t>ml</t>
  </si>
  <si>
    <t>SKU068</t>
  </si>
  <si>
    <t>https://www.google.com/search?q=Coke+Original+325ml+x+24+units+BigC+ราคา</t>
  </si>
  <si>
    <t>New SKU; vendor prices pending</t>
  </si>
  <si>
    <t>ซี-วิต เครื่องดื่มวิตามินซี รสเลมอน 140 มล.</t>
  </si>
  <si>
    <t>SKU010</t>
  </si>
  <si>
    <t>Coke Original 500ml x 12 units</t>
  </si>
  <si>
    <t>SKU069</t>
  </si>
  <si>
    <t>https://www.lotuss.com/en/smartx/product/171322073</t>
  </si>
  <si>
    <t>Lotus official Coke 500ml x12 THB186; BigC/Makro exact not found.</t>
  </si>
  <si>
    <t>SKU009</t>
  </si>
  <si>
    <t>Coke Original 999ml x 12 units</t>
  </si>
  <si>
    <t>BigC closest comparable Coke Original 1L x12 THB299; exact 999ml x12 not found.</t>
  </si>
  <si>
    <t>SKU008</t>
  </si>
  <si>
    <t>FANTA</t>
  </si>
  <si>
    <t>ซี-วิต เครื่องดื่มวิตามินซี รสออเร้นจ์ 140 มล.</t>
  </si>
  <si>
    <t>FANTA Mixed Fruit Flavored Soft Drink 1.5 L.</t>
  </si>
  <si>
    <t>https://www.bigc.co.th/group/fanta-20250130</t>
  </si>
  <si>
    <t>SKU070</t>
  </si>
  <si>
    <t>BigC Fanta green/mixed fruit 1.5L x12 THB336.</t>
  </si>
  <si>
    <t>https://shopping.lotuss.com/en/product/168843247</t>
  </si>
  <si>
    <t>Yogurt Drink</t>
  </si>
  <si>
    <t>ดัชมิลล์</t>
  </si>
  <si>
    <t>ดัชมิลล์คิดส์นมเปรี้ยวรสบลูเบอร์รี่ 90มล.</t>
  </si>
  <si>
    <t>SKU050</t>
  </si>
  <si>
    <t>Official comparable flavor</t>
  </si>
  <si>
    <t>Lotus Fanta fruit punch 1.5L x12 THB375; flavor naming differs.</t>
  </si>
  <si>
    <t>SKU013</t>
  </si>
  <si>
    <t>FANTA Mixed Fruit Flavored Soft Drink 325ml. x24 units</t>
  </si>
  <si>
    <t>Comparable flavor listing</t>
  </si>
  <si>
    <t>BigC Fanta 325ml x24 THB316 for comparable flavor listings.</t>
  </si>
  <si>
    <t>SKU012</t>
  </si>
  <si>
    <t>FANTA Mixed Fruit Flavored Soft Drink 500 ml.</t>
  </si>
  <si>
    <t>https://shopping.lotuss.com/en/product/171326974</t>
  </si>
  <si>
    <t>ดัชมิลล์คิดส์นมเปรี้ยวรสเบอรี่รวม 90มล.</t>
  </si>
  <si>
    <t>SKU049</t>
  </si>
  <si>
    <t>Lotus Fanta fruit punch 500ml x12 THB186; BigC/Makro exact not found.</t>
  </si>
  <si>
    <t>SKU011</t>
  </si>
  <si>
    <t>FANTA Mixed Fruit Flavored Soft Drink 999 ml.</t>
  </si>
  <si>
    <t>https://www.bigc.co.th/group/tnt-disc-20230810</t>
  </si>
  <si>
    <t>ดัชมิลล์คิดส์นมเปรี้ยวรสผลไม้รวม 90มล.</t>
  </si>
  <si>
    <t>BigC closest comparable Fanta 1L x12 THB299; exact 999ml pack not found.</t>
  </si>
  <si>
    <t>SKU002</t>
  </si>
  <si>
    <t>Lay's</t>
  </si>
  <si>
    <t>Lay's Original 48g x 6 units</t>
  </si>
  <si>
    <t>https://www.google.com/search?q=Lay%27s+Original+48g+x+6+units+Lotus+ราคา</t>
  </si>
  <si>
    <t>SKU047</t>
  </si>
  <si>
    <t>https://www.google.com/search?q=Lay%27s+Original+48g+x+6+units+Makro+ราคา</t>
  </si>
  <si>
    <t>ดัชมิลล์คิดส์นมเปรี้ยวรสสตอเบอรี่ 90มล.</t>
  </si>
  <si>
    <t>SKU051</t>
  </si>
  <si>
    <t>https://www.google.com/search?q=Lay%27s+Original+48g+x+6+units+BigC+ราคา</t>
  </si>
  <si>
    <t>ดัชมิลล์คิดส์นมเปรี้ยวรสส้ม 90มล.</t>
  </si>
  <si>
    <t>SKU048</t>
  </si>
  <si>
    <t>SKU006</t>
  </si>
  <si>
    <t>NESTLE</t>
  </si>
  <si>
    <t>NESTLE Pure Life Drinking Water 1.5 L. Pack 6</t>
  </si>
  <si>
    <t>https://www.bigc.co.th/shop/nestle/group/shop-nestle-brand-nestle-purelife</t>
  </si>
  <si>
    <t>Official/brand page</t>
  </si>
  <si>
    <t>UHT Milk</t>
  </si>
  <si>
    <t>BigC official Nestle Pure Life 1.5L pack 6 THB62.</t>
  </si>
  <si>
    <t>ดัชมิลล์ซีเล็คเต็ดรสจืด 180มล.</t>
  </si>
  <si>
    <t>https://shopping.lotuss.com/en/product/nestl-pure-life-drinking-water-1500ml-x-6pcs-150223816</t>
  </si>
  <si>
    <t>SKU052</t>
  </si>
  <si>
    <t>Lotus official Nestle Pure Life 1.5L x6 THB55.</t>
  </si>
  <si>
    <t>https://www.makro.pro/en/c/search?q=NESTLE</t>
  </si>
  <si>
    <t>ดัชมิลล์นมเปรี้ยวรสบลูเบอร์รี่ 180มล..x 4</t>
  </si>
  <si>
    <t>Official search listing</t>
  </si>
  <si>
    <t>SKU042</t>
  </si>
  <si>
    <t>Makro official search listing shows Nestle Pure Life 1.5L x6 THB47.</t>
  </si>
  <si>
    <t>SKU007</t>
  </si>
  <si>
    <t>NESTLE Pure Life Drinking Water 600 ml. Pack 12</t>
  </si>
  <si>
    <t>BigC official Nestle Pure Life 600ml pack 12 THB62.</t>
  </si>
  <si>
    <t>Makro official search listing THB47; Lotus exact 600ml pack 12 not found.</t>
  </si>
  <si>
    <t>SKU003</t>
  </si>
  <si>
    <t>SINGHA</t>
  </si>
  <si>
    <t>SINGHA Drinking Water 1.5L Pack 6</t>
  </si>
  <si>
    <t>BigC close match added; see Reference</t>
  </si>
  <si>
    <t>https://www.bigc.co.th/product/sigha-water-1-5-l-pack-6.744</t>
  </si>
  <si>
    <t>ดัชมิลล์นมเปรี้ยวรสเบอร์รี่รวม 180มล..x 4</t>
  </si>
  <si>
    <t>SKU045</t>
  </si>
  <si>
    <t>BigC official Singha water 1.5L pack 6 THB55.</t>
  </si>
  <si>
    <t>https://shopping.lotuss.com/en/product/singha-drinking-water-1500ml-x-6pcs-150146313</t>
  </si>
  <si>
    <t>Lotus verified and BigC close match added; see Reference</t>
  </si>
  <si>
    <t>ดัชมิลล์นมเปรี้ยวรสผลไม้รวม 180มล..x 4</t>
  </si>
  <si>
    <t>SKU044</t>
  </si>
  <si>
    <t>Lotus official Singha water 1.5L x6 THB55.</t>
  </si>
  <si>
    <t>https://www.makro.pro/en/p/9zvr82iu-6761199173827</t>
  </si>
  <si>
    <t>Makro official Singha water 1.5L x6 THB49.</t>
  </si>
  <si>
    <t>SKU015</t>
  </si>
  <si>
    <t>SINGHA Lemon Soda 330 ml. x 6 units</t>
  </si>
  <si>
    <t>https://www.bigc.co.th/shop/singha/group/shop-singha-crazy-deal</t>
  </si>
  <si>
    <t>No confident vendor price found yet</t>
  </si>
  <si>
    <t>Comparable listing</t>
  </si>
  <si>
    <t>BigC comparable Singha lemon soda 330ml x6 listings THB83.</t>
  </si>
  <si>
    <t>ดัชมิลล์นมเปรี้ยวรสสตอเบอร์รี่ 180มล..x 4</t>
  </si>
  <si>
    <t>https://www.makro.pro/en/p/cfar5hht-7325020881091</t>
  </si>
  <si>
    <t>SKU046</t>
  </si>
  <si>
    <t>Makro Singha Yuzu/Pink lemon soda 330ml x6 THB83; Lotus exact not found.</t>
  </si>
  <si>
    <t>Recheck Pass</t>
  </si>
  <si>
    <t>Scope</t>
  </si>
  <si>
    <t>Result</t>
  </si>
  <si>
    <t>Notes</t>
  </si>
  <si>
    <t>Uniqueness</t>
  </si>
  <si>
    <t>Pass</t>
  </si>
  <si>
    <t>No duplicate SKU codes or product names in cleaned 15-row SKU list.</t>
  </si>
  <si>
    <t>Formatting and consistency</t>
  </si>
  <si>
    <t>Lotus verified; see Reference</t>
  </si>
  <si>
    <t>Brand names trimmed, SKU codes normalized to SKU###, and 600 ml Nestle unit corrected to ml.</t>
  </si>
  <si>
    <t>Formula and source coverage</t>
  </si>
  <si>
    <t>Each row has at least one vendor price; formula columns use guarded formulas; missing exact vendor matches flagged as Review or Needs Manual Review.</t>
  </si>
  <si>
    <t>New SKU Update Log</t>
  </si>
  <si>
    <t>ดัชมิลล์นมเปรี้ยวรสส้ม 180มล..x 4</t>
  </si>
  <si>
    <t>SKU043</t>
  </si>
  <si>
    <t>Added 31 new SKUs from latest sheet update</t>
  </si>
  <si>
    <t>SKU016</t>
  </si>
  <si>
    <t>ยูโร่</t>
  </si>
  <si>
    <t>ยูโร่ คัสตาร์ดเค้ก 17 ก. 12 ชิ้น</t>
  </si>
  <si>
    <t>All Vendors</t>
  </si>
  <si>
    <t>Search: product + BigC/Lotus/Makro ราคา</t>
  </si>
  <si>
    <t>Search guide</t>
  </si>
  <si>
    <t>Pending Vendor Price</t>
  </si>
  <si>
    <t>Category/SKU/formulas added; vendor prices not supplied in update.</t>
  </si>
  <si>
    <t>SKU017</t>
  </si>
  <si>
    <t>ยูโร่ พัฟเค้ก สอดไส้ครีมรสสตรอเบอร์รี่ 17 ก. x 12</t>
  </si>
  <si>
    <t>Electrolyte</t>
  </si>
  <si>
    <t>ดีแชมป์</t>
  </si>
  <si>
    <t>ดีแชมป์เกลือแร่รสส้ม (กล่อง50ซอง)</t>
  </si>
  <si>
    <t>SKU018</t>
  </si>
  <si>
    <t>sachets</t>
  </si>
  <si>
    <t>ยูโร่ พัฟเค้ก สอดไส้ครีมรสใบเตย 17 ก. x 12</t>
  </si>
  <si>
    <t>SKU073</t>
  </si>
  <si>
    <t>SKU019</t>
  </si>
  <si>
    <t>ยูโร่ เค้กกล้วย 17 ก. x 12</t>
  </si>
  <si>
    <t>SKU020</t>
  </si>
  <si>
    <t>ยูโร่ เค้ก รสเมล่อน 17 ก. x 12</t>
  </si>
  <si>
    <t>SKU021</t>
  </si>
  <si>
    <t>ยูโร่ เค้ก นมฮอกไกโด 17 ก. x 12</t>
  </si>
  <si>
    <t>Soy Milk</t>
  </si>
  <si>
    <t>SKU022</t>
  </si>
  <si>
    <t>ดีน่า</t>
  </si>
  <si>
    <t>ยูโร่ มาร์เบิ้ลเค้กไส้ครีมช็อกโกแลต 17 ก. 12 ชิ้น</t>
  </si>
  <si>
    <t>ดีน่า กาบา นมถั่วเหลืองยูเอชที สูตรผสมจมูกข้าวญี่ปุ่น 180 มล. x 4</t>
  </si>
  <si>
    <t>SKU027</t>
  </si>
  <si>
    <t>SKU023</t>
  </si>
  <si>
    <t>ยูโร่ ช็อกโกพาย พายสอดไส้ครีมเคลือบช็อกโกแลต 18 ก. x 12</t>
  </si>
  <si>
    <t>Pack size corrected to 18g from product name.</t>
  </si>
  <si>
    <t>SKU024</t>
  </si>
  <si>
    <t>ยูโร่ ช็อกโกพาย ไส้แยมราสเบอร์รี่ 17 ก. x 12</t>
  </si>
  <si>
    <t>SKU025</t>
  </si>
  <si>
    <t>ดีน่า นมถั่วเหลือง ยูเอชที รสงาดำ 180 มล. x 4</t>
  </si>
  <si>
    <t>BigC category/listing price added; see Reference</t>
  </si>
  <si>
    <t>ดีน่านมถั่วเหลืองยูเอชทีน้ำตาลน้อยไขมันต่ำ180 มล. x 4</t>
  </si>
  <si>
    <t>SKU026</t>
  </si>
  <si>
    <t>SKU028</t>
  </si>
  <si>
    <t>ดีน่านมถั่วเหลืองยูเอชทีสูตรผสมน้ำนมข้าวโพด 180 มล. x 4</t>
  </si>
  <si>
    <t>SKU029</t>
  </si>
  <si>
    <t>ไมโล</t>
  </si>
  <si>
    <t>ไมโลนมยูเอชที 170มล.x 8</t>
  </si>
  <si>
    <t>Lotus verified and BigC category/listing price added; see Reference</t>
  </si>
  <si>
    <t>SKU030</t>
  </si>
  <si>
    <t>ไมโลนมยูเอชทีรสช็อกโกแลตมอลต์ 115มล. x 4</t>
  </si>
  <si>
    <t>SKU031</t>
  </si>
  <si>
    <t>โอวัลติน</t>
  </si>
  <si>
    <t>โอวัลติน นมยูเอชที รสมอลต์ช็อกโกแลต 180 มล. x 4</t>
  </si>
  <si>
    <t>Brand trimmed from source.</t>
  </si>
  <si>
    <t>SKU032</t>
  </si>
  <si>
    <t>โอวัลตินสมาร์ท นมยูเอชที รสมอลต์ช็อกโกแลต110 มล. x 4</t>
  </si>
  <si>
    <t>SKU033</t>
  </si>
  <si>
    <t>ไวตามิลค์</t>
  </si>
  <si>
    <t>ไวตามิลค์สูตรออริจินัล 300มล. x 6</t>
  </si>
  <si>
    <t>SKU034</t>
  </si>
  <si>
    <t>ไวตามิลค์สูตรออริจินัล 125มล.</t>
  </si>
  <si>
    <t>Pack count not specified in product name.</t>
  </si>
  <si>
    <t>SKU035</t>
  </si>
  <si>
    <t>หนองโพ</t>
  </si>
  <si>
    <t>หนองโพนมพร่องมันเนยยูเอชทีรสกาแฟ 225มล.x 4</t>
  </si>
  <si>
    <t>SKU036</t>
  </si>
  <si>
    <t>หนองโพนมยูเอชทีรสหวาน 225มล.x 4</t>
  </si>
  <si>
    <t>SKU037</t>
  </si>
  <si>
    <t>หนองโพนมยูเอชทีรสจืด 225มล.x 4</t>
  </si>
  <si>
    <t>SKU038</t>
  </si>
  <si>
    <t>ไทยเดนมาร์ค</t>
  </si>
  <si>
    <t>ไทยเดนมาร์ครสช็อกโกแลต 200มล.x 4</t>
  </si>
  <si>
    <t>BigC verified; see Reference</t>
  </si>
  <si>
    <t>SKU039</t>
  </si>
  <si>
    <t>ไทยเดนมาร์ครสจืด 200มล..x 4</t>
  </si>
  <si>
    <t>Source product name has double period before x4.</t>
  </si>
  <si>
    <t>Malted Milk</t>
  </si>
  <si>
    <t>SKU040</t>
  </si>
  <si>
    <t>ดีมอลต์</t>
  </si>
  <si>
    <t>ไทยเดนมาร์ครสจืด 125มล..x 4</t>
  </si>
  <si>
    <t>ดีมอลต์ไฮ10แคลเซี่ยม 180มล.</t>
  </si>
  <si>
    <t>SKU058</t>
  </si>
  <si>
    <t>SKU041</t>
  </si>
  <si>
    <t>นมไทยเดนมาร์ครสช็อกโกแลต 125 มล..x 4</t>
  </si>
  <si>
    <t>ดีมอลต์ไฮ10แคลเซี่ยม 90มล.</t>
  </si>
  <si>
    <t>SKU059</t>
  </si>
  <si>
    <t>New SKU structure</t>
  </si>
  <si>
    <t>31 new rows received SKU016-SKU046, categories, subcategories, and formulas.</t>
  </si>
  <si>
    <t>Cleanup</t>
  </si>
  <si>
    <t>Brand whitespace trimmed; Euro Choco Pie 18g pack size corrected; formula columns refilled after sorting.</t>
  </si>
  <si>
    <t>Reference coverage</t>
  </si>
  <si>
    <t>New SKU reference log created; vendor prices remain pending because no Lotus/Makro/BigC prices were supplied in the latest update.</t>
  </si>
  <si>
    <t>ทัมใจ</t>
  </si>
  <si>
    <t>Vendor Search Price Update</t>
  </si>
  <si>
    <t>ทัมใจผง(กล่อง100ซอง)</t>
  </si>
  <si>
    <t>Search engine + official vendor result snippets</t>
  </si>
  <si>
    <t>SKU077</t>
  </si>
  <si>
    <t>https://www.bigc.co.th/search?q=ดัชมิลล์%20นมเปรี้ยว%20รสบลูเบอร์รี่%20ยูเอชที%20180%20มล%20แพ็ค%204</t>
  </si>
  <si>
    <t>Cold Medicine</t>
  </si>
  <si>
    <t>ทิฟฟี่</t>
  </si>
  <si>
    <t>ทิฟฟี่ เดย์ (กล่อง25แผง)</t>
  </si>
  <si>
    <t>SKU081</t>
  </si>
  <si>
    <t>Closest/exact search listing</t>
  </si>
  <si>
    <t>Search result showed Dutch Mill blueberry 165ml x4 THB38; pack close but ml differs from source 180ml.</t>
  </si>
  <si>
    <t>https://shopping.lotuss.com/en/product/4-1-180-x-4-160083219</t>
  </si>
  <si>
    <t>Official listing</t>
  </si>
  <si>
    <t>Lotus result showed Dutch Mill mixed berries 180ml x4 THB38.</t>
  </si>
  <si>
    <t>https://www.bigc.co.th/group/uht-bigpack-20230818</t>
  </si>
  <si>
    <t>Closest listing</t>
  </si>
  <si>
    <t>BigC result showed Dutch Mill mixed berry 165ml x4 THB33; ml differs from source 180ml.</t>
  </si>
  <si>
    <t>https://ppe-shopping.lotuss.com/en/product/dutch-mill-4in1-strawberry-drinking-yoghurt-180ml-x-4pcs-160083179</t>
  </si>
  <si>
    <t>Lotus result showed Dutch Mill strawberry 180ml x4 THB38.</t>
  </si>
  <si>
    <t>https://www.bigc.co.th/en/category/plant-milk</t>
  </si>
  <si>
    <t>Official category listing</t>
  </si>
  <si>
    <t>BigC category showed Dina Gaba 180ml x4 THB38; some promo snippets showed THB36.</t>
  </si>
  <si>
    <t>https://www.lotuss.com/th/product/170560665</t>
  </si>
  <si>
    <t>Lotus result showed Dina black sesame low sugar 180ml pack 4 THB38.</t>
  </si>
  <si>
    <t>BigC category showed similar Dina black sesame low sugar 180ml x4 THB38; promo snippets may vary.</t>
  </si>
  <si>
    <t>https://shopping.lotuss.com/en/product/dna-soy-milk-with-extra-black-sesame-180ml-x-4pcs-166578339</t>
  </si>
  <si>
    <t>Lotus result showed DNA black sesame 180ml x4 THB38.</t>
  </si>
  <si>
    <t>ไทลินอล</t>
  </si>
  <si>
    <t>ไทลินอล (กล่อง20แผง)</t>
  </si>
  <si>
    <t>SKU082</t>
  </si>
  <si>
    <t>BigC category showed Dina black sesame 180ml x4 THB38; promo snippets may vary.</t>
  </si>
  <si>
    <t>https://www.bigc.co.th/product/dutch-mill-dina-uht-soy-milk-mixed-with-corn-milk-180-ml-pack-4.5811</t>
  </si>
  <si>
    <t>Official product page</t>
  </si>
  <si>
    <t>BigC product page showed Dina corn milk 180ml x4 THB38.</t>
  </si>
  <si>
    <t>Inhaler</t>
  </si>
  <si>
    <t>โป๊ยเซียน</t>
  </si>
  <si>
    <t>ยาดมโป๊ยเซียน(กล่องใหญ่)</t>
  </si>
  <si>
    <t>https://www.bigc.co.th/search?q=ไมโล%20นมยูเอชที%20115%20มล.%20แพ็ค%204</t>
  </si>
  <si>
    <t>box</t>
  </si>
  <si>
    <t>SKU071</t>
  </si>
  <si>
    <t>BigC search showed Milo 110ml x4 THB32, closest to source 115ml x4.</t>
  </si>
  <si>
    <t>Personal Care</t>
  </si>
  <si>
    <t>Skin Powder</t>
  </si>
  <si>
    <t>ผงวิเศษ</t>
  </si>
  <si>
    <t>https://www.makro.pro/p/6761187377347</t>
  </si>
  <si>
    <t>ผงวิเศษ ตราร่มชูชีพ(กล่อง36ซอง)</t>
  </si>
  <si>
    <t>SKU076</t>
  </si>
  <si>
    <t>Makro result showed Euro custard cake 17g x12 THB51, code 140478.</t>
  </si>
  <si>
    <t>https://www.makro.pro/th/p/810410-7078650872003</t>
  </si>
  <si>
    <t>พาราแคพ</t>
  </si>
  <si>
    <t>พาราแคพกระปุกกลาง</t>
  </si>
  <si>
    <t>jar</t>
  </si>
  <si>
    <t>Makro result showed Euro pandan puff cake 17g x12 THB51, code 810410.</t>
  </si>
  <si>
    <t>SKU084</t>
  </si>
  <si>
    <t>https://www.makro.pro/en/p/o7vyb8lm-7078725550275</t>
  </si>
  <si>
    <t>Makro result showed Euro melon cake 17g x12 THB51, SKU/code 820653.</t>
  </si>
  <si>
    <t>https://www.bigc.co.th/en/group/bmk-pie-puff-cake</t>
  </si>
  <si>
    <t>พาราแคพกระปุกใหญ่</t>
  </si>
  <si>
    <t>SKU085</t>
  </si>
  <si>
    <t>BigC category showed Euro melon cake 144g THB42; pack differs from 17g x12.</t>
  </si>
  <si>
    <t>https://www.makro.pro/p/7078725451971</t>
  </si>
  <si>
    <t>Makro result showed Euro Choco Pie chocolate cream 18g x12 THB48, code 110962.</t>
  </si>
  <si>
    <t>พาราแคพ (กล่อง50แผง)</t>
  </si>
  <si>
    <t>SKU083</t>
  </si>
  <si>
    <t>https://www.makro.pro/c/collections/Roll%20Max%20%7C%20Max%20Value%20at%20makro</t>
  </si>
  <si>
    <t>Makro category showed Euro marble cake chocolate cream 17g x12 THB51.</t>
  </si>
  <si>
    <t>https://www.makro.pro//p/923664-848670550558163</t>
  </si>
  <si>
    <t>โฟร์โมสต์</t>
  </si>
  <si>
    <t>โฟร์โมสต์รสจืด 180 มล.</t>
  </si>
  <si>
    <t>SKU056</t>
  </si>
  <si>
    <t>Makro result showed Euro Choco Pie raspberry jam 17g x12 THB51, code 923664.</t>
  </si>
  <si>
    <t>https://www.bigc.co.th/category/pie-puff-cake?page=2</t>
  </si>
  <si>
    <t>BigC category showed Euro raspberry pie 144g THB40; pack/description differs.</t>
  </si>
  <si>
    <t>โฟร์โมสต์รสจืด 225 มล.</t>
  </si>
  <si>
    <t>https://shopping.lotuss.com/th/product/vitamilk-original-uht-soymilk-300ml-x-6pcs-169350483</t>
  </si>
  <si>
    <t>SKU053</t>
  </si>
  <si>
    <t>Lotus result showed Vitamilk original 300ml x6 THB60.</t>
  </si>
  <si>
    <t>Trailing space removed; vendor prices pending</t>
  </si>
  <si>
    <t>https://www.bigc.co.th/product/vitamilk-to-go-original-soy-milk-300-ml-6-bottles.597.597</t>
  </si>
  <si>
    <t>โฟร์โมสต์รสจืด 80 มล.</t>
  </si>
  <si>
    <t>SKU057</t>
  </si>
  <si>
    <t>BigC exact product page showed THB85; other category snippets conflicted at THB60/89.</t>
  </si>
  <si>
    <t>https://www.lotuss.com/th/product/52013735</t>
  </si>
  <si>
    <t>โฟร์โมสต์รสช็อกโกแลต 180 มล.</t>
  </si>
  <si>
    <t>SKU055</t>
  </si>
  <si>
    <t>Derived from official single listing</t>
  </si>
  <si>
    <t>Lotus showed Nongpho coffee 225ml single THB12.75; pack-4 equivalent entered as THB51.</t>
  </si>
  <si>
    <t>https://www.bigc.co.th/search?q=หนองโพ%20นมยูเอชที%20225%20มล.%20แพ็ค%204</t>
  </si>
  <si>
    <t>โฟร์โมสต์รสสตอเบอรี่ 225 มล.</t>
  </si>
  <si>
    <t>SKU054</t>
  </si>
  <si>
    <t>BigC search showed Nongpho coffee 225ml pack 4 THB51.</t>
  </si>
  <si>
    <t>https://shopping.lotuss.com/en/product/nongpho-plain-flavour-uht-milk-225ml-x-4pcs-164556933</t>
  </si>
  <si>
    <t>Lotus result showed Nongpho plain 225ml x4 THB51.</t>
  </si>
  <si>
    <t>https://www.bigc.co.th/product/nhongpho-uht-milk-plain-flavor-size-225-ml-pack-4.11041</t>
  </si>
  <si>
    <t>BigC result showed Nongpho plain 225ml pack 4 THB51.</t>
  </si>
  <si>
    <t>https://ppe-shopping.lotuss.com/th/product/nongpho-uht-sweetened-flavoured-milk-225ml-x-4pcs-164556870</t>
  </si>
  <si>
    <t>Snack</t>
  </si>
  <si>
    <t>Cake</t>
  </si>
  <si>
    <t>Lotus result showed Nongpho sweetened 225ml x4 THB51.</t>
  </si>
  <si>
    <t>g</t>
  </si>
  <si>
    <t>https://www.bigc.co.th/search?q=หนองโพ%20นมยูเอชที%20รสจืด%20ขนาด%20225%20มล.%20แพ็ค%204</t>
  </si>
  <si>
    <t>Makro verified; see Reference</t>
  </si>
  <si>
    <t>BigC search listing showed Nongpho sweetened 225ml x4 THB51.</t>
  </si>
  <si>
    <t>https://shopping.lotuss.com/th/smartx/product/ovaltine-high-calcium-malt-chocolate-flavoured-uht-milk-product-180ml-x-4pcs-162618708</t>
  </si>
  <si>
    <t>Lotus current snippet showed THB45; an older snippet showed THB40.</t>
  </si>
  <si>
    <t>https://www.bigc.co.th/ovaltine-uht-milk-hi9-180-ml.html</t>
  </si>
  <si>
    <t>BigC product page showed Ovaltine 180ml pack 4 THB45.</t>
  </si>
  <si>
    <t>Vendor price entry</t>
  </si>
  <si>
    <t>Entered official/closest vendor prices found through search; blank fields remain where no exact or acceptable close match was found.</t>
  </si>
  <si>
    <t>Match-quality labeling</t>
  </si>
  <si>
    <t>Reference marks exact official listings as Verified and closest/derived values as Needs Manual Review.</t>
  </si>
  <si>
    <t>Makro verified; BigC close match added; see Reference</t>
  </si>
  <si>
    <t>Formula behavior</t>
  </si>
  <si>
    <t>Pending readback</t>
  </si>
  <si>
    <t>Write succeeded; final readback may be delayed by Google Sheets API read quota.</t>
  </si>
  <si>
    <t>Added SKU047-SKU085 from latest sheet update</t>
  </si>
  <si>
    <t>Category/SKU/formulas added; vendor price not confirmed from search.</t>
  </si>
  <si>
    <t>Trailing space removed; vendor price not confirmed from search.</t>
  </si>
  <si>
    <t>SKU060</t>
  </si>
  <si>
    <t>แลคตาซอย</t>
  </si>
  <si>
    <t>แลคตาซอยเจ 300มล.</t>
  </si>
  <si>
    <t>SKU061</t>
  </si>
  <si>
    <t>แลคตาซอยรสจืดสูตรไม่เติมน้ำตาลทราย 300มล.</t>
  </si>
  <si>
    <t>Makro category/listing price added; see Reference</t>
  </si>
  <si>
    <t>SKU062</t>
  </si>
  <si>
    <t>แลคตาซอยรสหวานออริจินัล 300 มล.</t>
  </si>
  <si>
    <t>แลคตาซอยงาดำยูเอชที 125มล.</t>
  </si>
  <si>
    <t>SKU063</t>
  </si>
  <si>
    <t>แลคตาซอยไลท์ผสมคอลลาเจน 250 มล.</t>
  </si>
  <si>
    <t>SKU065</t>
  </si>
  <si>
    <t>SKU064</t>
  </si>
  <si>
    <t>แลคตาซอยรสช็อกโกแลตน้ำตาลน้อยลง 250มล.</t>
  </si>
  <si>
    <t>SKU066</t>
  </si>
  <si>
    <t>แลคตาซอยรสหวาน 125 มล.</t>
  </si>
  <si>
    <t>SKU067</t>
  </si>
  <si>
    <t>แลคตาซอยรสช็อกโกแลต 125 มล.</t>
  </si>
  <si>
    <t>Leading space removed; price not supplied.</t>
  </si>
  <si>
    <t>SKU072</t>
  </si>
  <si>
    <t>Royal-D</t>
  </si>
  <si>
    <t>เกลือแร่ Royal-D ผลไม้รวม (กล่องใหญ่50ซอง)</t>
  </si>
  <si>
    <t>Category/SKU/formulas added; price not supplied.</t>
  </si>
  <si>
    <t>SKU074</t>
  </si>
  <si>
    <t>อีโน</t>
  </si>
  <si>
    <t>อีโนผงฟู่รสส้ม 4.3กรัม</t>
  </si>
  <si>
    <t>SKU075</t>
  </si>
  <si>
    <t>อีโน รสมะนาว 4.3 กรัม</t>
  </si>
  <si>
    <t>SKU078</t>
  </si>
  <si>
    <t>แอนตาซิล</t>
  </si>
  <si>
    <t>แอนตาซิล (กล่อง50*10เม็ด)</t>
  </si>
  <si>
    <t>Brand trimmed; price not supplied.</t>
  </si>
  <si>
    <t>Brand corrected from Tiffy to product brand; price not supplied.</t>
  </si>
  <si>
    <t>SKU047-SKU085 added with Category, Subcategory, Unit, SKU Code, formulas, and Reference status.</t>
  </si>
  <si>
    <t>Trimmed spaces, corrected Tylenol brand, normalized missing pack units where possible, and cleared extra autofill formula row.</t>
  </si>
  <si>
    <t>Vendor price status</t>
  </si>
  <si>
    <t>Partial</t>
  </si>
  <si>
    <t>Search/reference guide added for all new SKUs; no reliable vendor prices were entered for SKU047-SKU085 because current search results did not return confirmable exact vendor prices during this run.</t>
  </si>
  <si>
    <t>Lotus verified and BigC price added; see Reference</t>
  </si>
  <si>
    <t>Lotus derived from single price and BigC search listing added; see Reference</t>
  </si>
  <si>
    <t>Lotus and BigC verified; see Reference</t>
  </si>
  <si>
    <t>Lotus verified and BigC search listing added; see Reference</t>
  </si>
  <si>
    <t>Antacid</t>
  </si>
  <si>
    <t>tablets</t>
  </si>
  <si>
    <t>Soft Drink</t>
  </si>
  <si>
    <t>L</t>
  </si>
  <si>
    <t>Source checked; exact Makro missing</t>
  </si>
  <si>
    <t>Closest comparable 250ml x12</t>
  </si>
  <si>
    <t>Closest comparable 1.95L x6</t>
  </si>
  <si>
    <t>Original sample row retained</t>
  </si>
  <si>
    <t>Exact BigC/Makro missing</t>
  </si>
  <si>
    <t>Closest comparable 1L x12</t>
  </si>
  <si>
    <t>Potato Chips</t>
  </si>
  <si>
    <t>Drinking Water</t>
  </si>
  <si>
    <t>Source checked</t>
  </si>
  <si>
    <t>Unit corrected from L to ml</t>
  </si>
  <si>
    <t>Soda</t>
  </si>
  <si>
    <t>Comparable flavor listings</t>
  </si>
  <si>
    <t>พานาโซนิค</t>
  </si>
  <si>
    <t>ถ่านเขียวพานาโซนิค AAA (กล่อง1 5แพ็ค60ก้อน )</t>
  </si>
  <si>
    <t>ถ่านเขียวพานาโซนิค AAA (1แพ็ค4ก้อน )</t>
  </si>
  <si>
    <t>ถ่านเขียวพานาโซนิค AA (กล่อง15แพ็ค60ก้อน )</t>
  </si>
  <si>
    <t>ถ่านเขียวพานาโซนิค AA (กล่อง1แพ็ค4ก้อน )</t>
  </si>
  <si>
    <t>ชาช่า</t>
  </si>
  <si>
    <t>ชาช่า เมล็ดทานตะวันกลิ่นมะพร้าว 72 ก. แพ็ค 6</t>
  </si>
  <si>
    <t>ชาช่า เมล็ดทานตะวัน รสมะพร้าว 35 ก. แพ็ค 6</t>
  </si>
  <si>
    <t>ชาช่า เมล็ดทานตะวัน กลิ่นมะพร้าว 18 ก. แพ็ค 12</t>
  </si>
  <si>
    <t>ช้างน้อย</t>
  </si>
  <si>
    <t>ตรามือเมล็ดฟักทอง33กรัม</t>
  </si>
  <si>
    <t>ยำยำ ช้างน้อย บะหมี่กึ่งสำเร็จรูป รสโนริสาหร่าย 20 ก. x 12 ชิ้น</t>
  </si>
  <si>
    <t>ยำยำ ช้างน้อย บะหมี่กึ่งสำเร็จรูป รสต้มยำ 22 ก. x 12 ซอง</t>
  </si>
  <si>
    <t>ยำยำ ช้างน้อย บะหมี่กึ่งสำเร็จรูป รสซุปเปอร์เลมอน 20 ก. x 12 ซอง</t>
  </si>
  <si>
    <t xml:space="preserve">ฟันโอ </t>
  </si>
  <si>
    <t>ฟันโอ คุกกี้แซนวิช สอดไส้ครีมคัสตาร์ด 40.5 ก. แพ็ค 12</t>
  </si>
  <si>
    <t>ฟันโอ คุกกี้แซนวิชรสช็อกโกแลต สอดไส้ครีมช็อกโกแลต 40.5 ก. แพ็ค 12</t>
  </si>
  <si>
    <t>ฟันโอ คุกกี้แซนวิช สอดไส้ครีมช็อกโกแลต 40.5 ก.แพ็ค 12</t>
  </si>
  <si>
    <t>ฟันโอ คุกกี้แซนวิชรสช็อกโกแลต สอดไส้ครีมคุกกี้แอนด์ครีม 40.5 ก. แพ็ค 12</t>
  </si>
  <si>
    <t>ฟันโอ คุกกี้แซนวิช สอดไส้ครีมสตรอว์เบอร์รี่ 40.5 ก. แพ็ค 12</t>
  </si>
  <si>
    <t>ฟันโอ คุกกี้แซนวิชรสช็อกโกแลต สอดไส้ครีมชาเขียว 40.5 ก. แพ็ค 12</t>
  </si>
  <si>
    <t>ยำยำ ช้างน้อย บะหมี่กึ่งสำเร็จรูป รสบาร์บีคิว 20 ก. x 12 ชิ้น</t>
  </si>
  <si>
    <t>ยำยำ ช้างน้อย บะหมี่กึ่งสำเร็จรูป รสข้าวโพด 20 ก. x 12 ชิ้น</t>
  </si>
  <si>
    <t>ครีมโอ</t>
  </si>
  <si>
    <t>ครีมโอ คุกกี้แซนด์วิชรสช็อกโกแลตสอดไส้ครีมกลิ่นวานิลลา 27 ก. แพ็ค 12</t>
  </si>
  <si>
    <t>มอลคิสท์</t>
  </si>
  <si>
    <t>มอลคิสท์ แครกเกอร์ รสบาร์บีคิวฟลอส 14 ก. แพ็ค 24</t>
  </si>
  <si>
    <t>มอลคิสท์ แครกเกอร์ รสออริจินอล 14 ก. 24 ชิ้น</t>
  </si>
  <si>
    <t>ทิวลี่</t>
  </si>
  <si>
    <t>ทิวลี่ ทวิน เวเฟอร์สอดไส้ครีมรสช็อกโกแลตเคลือบช็อกโกแลต 10 ก. แพ็ค 24</t>
  </si>
  <si>
    <t>ทิวลี่ ทวิน เวเฟอร์สอดไส้ครีมรสวานิลลาเคลือบช็อกโกแลต 10 ก. แพ็ค 24</t>
  </si>
  <si>
    <t>ทิวลี่ ทวิน เวเฟอร์สอดไส้ครีมรสนมเคลือบครีมรสนม 10 ก. แพ็ค 24</t>
  </si>
  <si>
    <t>ทิวลี่ ทวิน เวเฟอร์สอดไส้แยมกลิ่นสตรอเบอร์รี่เคลือบช็อกโกแลต 10 ก. แพ็ค 24</t>
  </si>
  <si>
    <t xml:space="preserve">เมจิกทวิน </t>
  </si>
  <si>
    <t>เมจิก ทวิน แครกเกอร์ ไส้ครีมรสช็อกโกแลต ขนาด 15 ก. แพ็ค 24</t>
  </si>
  <si>
    <t>เมจิกทวิน แครกเกอร์สอดไส้ครีม กลิ่นเนย ขนาด 24 ชิ้น</t>
  </si>
  <si>
    <t>เมจิกทวิน แครกเกอร์ช็อกโกแลตสอดไส้ช็อกโกแลต ขนาด 24 ชิ้น</t>
  </si>
  <si>
    <t>ทิวลี่ ครั้นชี่เฟลค เวเฟอร์สอดไส้โอวัลตินช็อกมอลต์และเฟลค 26 ก. แพ็ค 12</t>
  </si>
  <si>
    <t xml:space="preserve"> แยมโอแยม </t>
  </si>
  <si>
    <t>แยมโอแยม คุกกี้สอดไส้บลูเบอร์รี่ 32 ก. x 12 ชิ้น</t>
  </si>
  <si>
    <t xml:space="preserve"> แยมโอแยม บิสกิตนมสอดไส้แยมรสสับปะรด 32กรัมx12ห่อ</t>
  </si>
  <si>
    <t xml:space="preserve">วอยซ์ </t>
  </si>
  <si>
    <t>วอยซ์ วาฟเฟิล ช็อกโก คริสปี้ 21 ก. แพ็ค 12</t>
  </si>
  <si>
    <t>เถ้าแก่น้อย</t>
  </si>
  <si>
    <t>เถ้าแก่น้อย บิ๊กโรล สาหร่ายย่างสไตล์ญี่ปุ่น รสคลาสสิก 3 ก. x 12 ชิ้น</t>
  </si>
  <si>
    <t>เถ้าแก่น้อย บิ๊กชีท สาหร่ายทอดกรอบ รสซีฟู้ด 3.2 ก. x 12 ชิ้น</t>
  </si>
  <si>
    <t>เถ้าแก่น้อย สาหร่ายทอดปรุงรส แผ่นใหญ่ รสเผ็ด 3.2 ก. x 12 ชิ้น</t>
  </si>
  <si>
    <t>เถ้าแก่น้อย สาหร่ายทอดปรุงรส แผ่นใหญ่ รสคลาสสิก 3.2 ก. x 12 ชิ้น</t>
  </si>
  <si>
    <t>ไตรแองเกิล</t>
  </si>
  <si>
    <t>ไตรแองเกิล สแน็ค วิท มิลค์ ฟิลลิ่ง (ปริมาณสุทธิ 8 กรัม 24 ชิ้น)</t>
  </si>
  <si>
    <t> ไตรแองเกิล รสช็อกโกแลต 8กรัมx24 ชิ้น</t>
  </si>
  <si>
    <t>ซูโม่</t>
  </si>
  <si>
    <t>ซูโม่ มินิคุกกี้ไส้ครีม 30 ก. แพ็ค 12</t>
  </si>
  <si>
    <t xml:space="preserve">เจอรี่ </t>
  </si>
  <si>
    <t>เจอรี่ ครันช์โรล เวเฟอร์โรลสอดไส้ช็อกโกแลตเคลือบคาราเมล บิสกิตและช็อกโกแลต 276 ก</t>
  </si>
  <si>
    <t>แคลชีส</t>
  </si>
  <si>
    <t>แคลชีส เวเฟอร์สอดไส้ครีม รสชีส 27.5 ก. แพ็ค 12</t>
  </si>
  <si>
    <t xml:space="preserve">โอรีโอ้ </t>
  </si>
  <si>
    <t>โอรีโอ้ คุกกี้แซนวิชรสช็อกโกแลต สอดไส้ครีมวานิลลา 27.6 ก. แพ็ค 12</t>
  </si>
  <si>
    <t>โอรีโอ คุกกี้แซนวิชรสช็อกโกแลต สอดไส้ครีมช็อกโกแลต 27.6 ก. แพ็ค 12</t>
  </si>
  <si>
    <t>เจอรี่ (Gery) เวเฟอร์รสช็อกโกแลต (น้ำหนักสุทธิ10 กรัม x 24 ชิ้น)</t>
  </si>
  <si>
    <t>โอวัลติน คุกกี้โอวัลตินสอดไส้ครีมช็อกโกแลตมอลต์ 30 ก. แพ็ค 12</t>
  </si>
  <si>
    <t>ดิวเบอร์รี่</t>
  </si>
  <si>
    <t>ดิวเบอร์รี่ คุกกี้แซนด์วิชสอดไส้ครีมและแยม กลิ่นบลูเบอร์รี่ 27 ก. แพ็ค 12</t>
  </si>
  <si>
    <t>ดิวเบอร์รี่ คุกกี้แซนด์วิชสอดไส้ครีมและแยม กลิ่นสตรอว์เบอร์รี่ 27 ก. แพ็ค 12 ซอง</t>
  </si>
  <si>
    <t>เบงเบง</t>
  </si>
  <si>
    <t>เบง เบง เวเฟอร์สอดไส้ครีมเคลือบคาราเมลช็อกโกแลตและข้าวพอง 20 ก. แพ็ค 12</t>
  </si>
  <si>
    <t xml:space="preserve">ทิวลี่ </t>
  </si>
  <si>
    <t>ทิวลี่ บิ๊กบอม ช็อก คาราเมล 20 ก. แพ็ค 12 ชิ้น</t>
  </si>
  <si>
    <t>ซุปเปอร์สตาร์</t>
  </si>
  <si>
    <t>ซุปเปอร์สตาร์ทวิน36ก. 5 บาท</t>
  </si>
  <si>
    <t>ทิวลี่ ทรีโอ ช็อกโก เวเฟอร์รสช็อกโกแลตสอดไส้ครีม 28 ก. แพ็ค 12</t>
  </si>
  <si>
    <t>พิคคาเดลีริคโค</t>
  </si>
  <si>
    <t>พิคคาเดลีริคโค23.5ก.ช็อกฯ</t>
  </si>
  <si>
    <t>เบงเบง เวเฟอร์ รสไวท์ช็อกโกแลต 20 ก. แพ็ค 12</t>
  </si>
  <si>
    <t xml:space="preserve">มอลคิสท์ </t>
  </si>
  <si>
    <t>มอลคิสท์ แครกเกอร์ สอดไส้ครีมรสคาปูชิโน 46 กรัม แพ็ก 12</t>
  </si>
  <si>
    <t>Go Choco</t>
  </si>
  <si>
    <t xml:space="preserve"> Go Choco โกช็อคโก้โรล เวเฟอร์สติ๊กไส้ครีมช็อกโกแลต 320กรัม 3.- (20ซอง x 16กรัม)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</si>
</sst>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1">
    <font>
      <sz val="11.0"/>
      <color theme="1"/>
      <name val="Calibri"/>
      <scheme val="minor"/>
    </font>
    <font>
      <b/>
      <sz val="14.0"/>
      <color theme="1"/>
      <name val="Calibri"/>
      <scheme val="minor"/>
    </font>
    <font>
      <b/>
      <sz val="12.0"/>
      <color rgb="FFFFFFFF"/>
      <name val="Calibri"/>
      <scheme val="minor"/>
    </font>
    <font>
      <color theme="1"/>
      <name val="Calibri"/>
      <scheme val="minor"/>
    </font>
    <font>
      <b/>
      <color rgb="FFFFFFFF"/>
      <name val="Calibri"/>
      <scheme val="minor"/>
    </font>
    <font>
      <b/>
      <color theme="1"/>
      <name val="Calibri"/>
      <scheme val="minor"/>
    </font>
    <font>
      <u/>
      <color rgb="FF0000FF"/>
    </font>
    <font>
      <sz val="11.0"/>
      <color theme="1"/>
      <name val="Calibri"/>
    </font>
    <font>
      <sz val="11.0"/>
      <color rgb="FF000000"/>
      <name val="Arial"/>
    </font>
    <font>
      <sz val="11.0"/>
      <color rgb="FF212124"/>
      <name val="Arial"/>
    </font>
    <font>
      <sz val="11.0"/>
      <color rgb="FF212124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14446D"/>
        <bgColor rgb="FF14446D"/>
      </patternFill>
    </fill>
    <fill>
      <patternFill patternType="solid">
        <fgColor rgb="FFFF0000"/>
        <bgColor rgb="FFFF0000"/>
      </patternFill>
    </fill>
    <fill>
      <patternFill patternType="solid">
        <fgColor rgb="FFBCDBED"/>
        <bgColor rgb="FFBCDBED"/>
      </patternFill>
    </fill>
    <fill>
      <patternFill patternType="solid">
        <fgColor theme="0"/>
        <bgColor theme="0"/>
      </patternFill>
    </fill>
    <fill>
      <patternFill patternType="solid">
        <fgColor rgb="FFB8CCE4"/>
        <bgColor rgb="FFB8CCE4"/>
      </patternFill>
    </fill>
    <fill>
      <patternFill patternType="solid">
        <fgColor rgb="FFDBE5F1"/>
        <bgColor rgb="FFDBE5F1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readingOrder="0"/>
    </xf>
    <xf borderId="0" fillId="0" fontId="3" numFmtId="0" xfId="0" applyFont="1"/>
    <xf borderId="0" fillId="2" fontId="2" numFmtId="0" xfId="0" applyFill="1" applyFont="1"/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1" fillId="2" fontId="4" numFmtId="0" xfId="0" applyAlignment="1" applyBorder="1" applyFill="1" applyFont="1">
      <alignment horizontal="center" readingOrder="0"/>
    </xf>
    <xf borderId="1" fillId="3" fontId="4" numFmtId="0" xfId="0" applyAlignment="1" applyBorder="1" applyFill="1" applyFont="1">
      <alignment horizontal="center" readingOrder="0"/>
    </xf>
    <xf borderId="0" fillId="4" fontId="5" numFmtId="0" xfId="0" applyAlignment="1" applyFill="1" applyFont="1">
      <alignment horizontal="center" readingOrder="0"/>
    </xf>
    <xf borderId="0" fillId="0" fontId="3" numFmtId="4" xfId="0" applyAlignment="1" applyFont="1" applyNumberFormat="1">
      <alignment readingOrder="0"/>
    </xf>
    <xf borderId="0" fillId="5" fontId="3" numFmtId="0" xfId="0" applyFill="1" applyFont="1"/>
    <xf borderId="0" fillId="5" fontId="3" numFmtId="0" xfId="0" applyAlignment="1" applyFill="1" applyFont="1">
      <alignment readingOrder="0"/>
    </xf>
    <xf borderId="0" fillId="0" fontId="6" numFmtId="0" xfId="0" applyAlignment="1" applyFont="1">
      <alignment readingOrder="0"/>
    </xf>
    <xf borderId="0" fillId="5" fontId="3" numFmtId="4" xfId="0" applyFill="1" applyFont="1" applyNumberFormat="1"/>
    <xf borderId="0" fillId="0" fontId="3" numFmtId="4" xfId="0" applyFont="1" applyNumberFormat="1"/>
    <xf borderId="0" fillId="5" fontId="3" numFmtId="10" xfId="0" applyFill="1" applyFont="1" applyNumberFormat="1"/>
    <xf borderId="0" fillId="6" fontId="7" numFmtId="0" xfId="0" applyAlignment="1" applyFill="1" applyFont="1">
      <alignment readingOrder="0" vertical="bottom"/>
    </xf>
    <xf borderId="0" fillId="5" fontId="3" numFmtId="4" xfId="0" applyAlignment="1" applyFill="1" applyFont="1" applyNumberFormat="1">
      <alignment readingOrder="0"/>
    </xf>
    <xf borderId="0" fillId="7" fontId="7" numFmtId="0" xfId="0" applyAlignment="1" applyFill="1" applyFont="1">
      <alignment readingOrder="0" vertical="bottom"/>
    </xf>
    <xf borderId="0" fillId="4" fontId="5" numFmtId="0" xfId="0" applyAlignment="1" applyFill="1" applyFont="1">
      <alignment readingOrder="0"/>
    </xf>
    <xf borderId="0" fillId="4" fontId="5" numFmtId="164" xfId="0" applyAlignment="1" applyFill="1" applyFont="1" applyNumberFormat="1">
      <alignment readingOrder="0"/>
    </xf>
    <xf borderId="0" fillId="4" fontId="5" numFmtId="0" xfId="0" applyFill="1" applyFont="1"/>
    <xf borderId="0" fillId="8" fontId="8" numFmtId="0" xfId="0" applyAlignment="1" applyFill="1" applyFont="1">
      <alignment readingOrder="0"/>
    </xf>
    <xf borderId="0" fillId="8" fontId="9" numFmtId="0" xfId="0" applyAlignment="1" applyFill="1" applyFont="1">
      <alignment readingOrder="0"/>
    </xf>
    <xf borderId="0" fillId="8" fontId="9" numFmtId="0" xfId="0" applyAlignment="1" applyFill="1" applyFont="1">
      <alignment readingOrder="0"/>
    </xf>
    <xf borderId="0" fillId="8" fontId="0" numFmtId="0" xfId="0" applyAlignment="1" applyFill="1" applyFont="1">
      <alignment readingOrder="0"/>
    </xf>
    <xf borderId="0" fillId="8" fontId="10" numFmtId="0" xfId="0" applyAlignment="1" applyFill="1" applyFont="1">
      <alignment readingOrder="0"/>
    </xf>
    <xf borderId="0" fillId="5" fontId="0" numFmtId="0" xfId="0" applyAlignment="1" applyFill="1" applyFont="1">
      <alignment readingOrder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makro.pro/p/6761187377347" TargetMode="External"/><Relationship Id="rId42" Type="http://schemas.openxmlformats.org/officeDocument/2006/relationships/hyperlink" Target="https://www.makro.pro/en/p/o7vyb8lm-7078725550275" TargetMode="External"/><Relationship Id="rId41" Type="http://schemas.openxmlformats.org/officeDocument/2006/relationships/hyperlink" Target="https://www.makro.pro/th/p/810410-7078650872003" TargetMode="External"/><Relationship Id="rId44" Type="http://schemas.openxmlformats.org/officeDocument/2006/relationships/hyperlink" Target="https://www.makro.pro/p/7078725451971" TargetMode="External"/><Relationship Id="rId43" Type="http://schemas.openxmlformats.org/officeDocument/2006/relationships/hyperlink" Target="https://www.bigc.co.th/en/group/bmk-pie-puff-cake" TargetMode="External"/><Relationship Id="rId46" Type="http://schemas.openxmlformats.org/officeDocument/2006/relationships/hyperlink" Target="https://www.makro.pro//p/923664-848670550558163" TargetMode="External"/><Relationship Id="rId45" Type="http://schemas.openxmlformats.org/officeDocument/2006/relationships/hyperlink" Target="https://www.makro.pro/c/collections/Roll%20Max%20%7C%20Max%20Value%20at%20makro" TargetMode="External"/><Relationship Id="rId1" Type="http://schemas.openxmlformats.org/officeDocument/2006/relationships/hyperlink" Target="https://www.bigc.co.th/shop/coca-cola/group/shop-coca-cola-brand-coke" TargetMode="External"/><Relationship Id="rId2" Type="http://schemas.openxmlformats.org/officeDocument/2006/relationships/hyperlink" Target="https://www.lotuss.com/en/product/coke-soft-drink-original-15l-x-12pcs-clubpack-168688528" TargetMode="External"/><Relationship Id="rId3" Type="http://schemas.openxmlformats.org/officeDocument/2006/relationships/hyperlink" Target="https://www.google.com/search?q=Coke+Original+1.5L+x+12+units+Makro+%E0%B8%A3%E0%B8%B2%E0%B8%84%E0%B8%B2" TargetMode="External"/><Relationship Id="rId4" Type="http://schemas.openxmlformats.org/officeDocument/2006/relationships/hyperlink" Target="https://www.bigc.co.th/product/coca-cola-coke-soft-drink-original-taste-less-sugar-1-9-l-6-bottles-8851959629017.70904" TargetMode="External"/><Relationship Id="rId9" Type="http://schemas.openxmlformats.org/officeDocument/2006/relationships/hyperlink" Target="https://www.lotuss.com/en/smartx/product/171322073" TargetMode="External"/><Relationship Id="rId48" Type="http://schemas.openxmlformats.org/officeDocument/2006/relationships/hyperlink" Target="https://shopping.lotuss.com/th/product/vitamilk-original-uht-soymilk-300ml-x-6pcs-169350483" TargetMode="External"/><Relationship Id="rId47" Type="http://schemas.openxmlformats.org/officeDocument/2006/relationships/hyperlink" Target="https://www.bigc.co.th/category/pie-puff-cake?page=2" TargetMode="External"/><Relationship Id="rId49" Type="http://schemas.openxmlformats.org/officeDocument/2006/relationships/hyperlink" Target="https://www.bigc.co.th/product/vitamilk-to-go-original-soy-milk-300-ml-6-bottles.597.597" TargetMode="External"/><Relationship Id="rId5" Type="http://schemas.openxmlformats.org/officeDocument/2006/relationships/hyperlink" Target="https://www.makro.pro/en/p/kz8iaf5-7078660309187" TargetMode="External"/><Relationship Id="rId6" Type="http://schemas.openxmlformats.org/officeDocument/2006/relationships/hyperlink" Target="https://www.google.com/search?q=Coke+Original+325ml+x+24+units+Lotus+%E0%B8%A3%E0%B8%B2%E0%B8%84%E0%B8%B2" TargetMode="External"/><Relationship Id="rId7" Type="http://schemas.openxmlformats.org/officeDocument/2006/relationships/hyperlink" Target="https://www.google.com/search?q=Coke+Original+325ml+x+24+units+Makro+%E0%B8%A3%E0%B8%B2%E0%B8%84%E0%B8%B2" TargetMode="External"/><Relationship Id="rId8" Type="http://schemas.openxmlformats.org/officeDocument/2006/relationships/hyperlink" Target="https://www.google.com/search?q=Coke+Original+325ml+x+24+units+BigC+%E0%B8%A3%E0%B8%B2%E0%B8%84%E0%B8%B2" TargetMode="External"/><Relationship Id="rId31" Type="http://schemas.openxmlformats.org/officeDocument/2006/relationships/hyperlink" Target="https://www.bigc.co.th/group/uht-bigpack-20230818" TargetMode="External"/><Relationship Id="rId30" Type="http://schemas.openxmlformats.org/officeDocument/2006/relationships/hyperlink" Target="https://shopping.lotuss.com/en/product/4-1-180-x-4-160083219" TargetMode="External"/><Relationship Id="rId33" Type="http://schemas.openxmlformats.org/officeDocument/2006/relationships/hyperlink" Target="https://www.bigc.co.th/en/category/plant-milk" TargetMode="External"/><Relationship Id="rId32" Type="http://schemas.openxmlformats.org/officeDocument/2006/relationships/hyperlink" Target="https://ppe-shopping.lotuss.com/en/product/dutch-mill-4in1-strawberry-drinking-yoghurt-180ml-x-4pcs-160083179" TargetMode="External"/><Relationship Id="rId35" Type="http://schemas.openxmlformats.org/officeDocument/2006/relationships/hyperlink" Target="https://www.bigc.co.th/en/category/plant-milk" TargetMode="External"/><Relationship Id="rId34" Type="http://schemas.openxmlformats.org/officeDocument/2006/relationships/hyperlink" Target="https://www.lotuss.com/th/product/170560665" TargetMode="External"/><Relationship Id="rId37" Type="http://schemas.openxmlformats.org/officeDocument/2006/relationships/hyperlink" Target="https://www.bigc.co.th/en/category/plant-milk" TargetMode="External"/><Relationship Id="rId36" Type="http://schemas.openxmlformats.org/officeDocument/2006/relationships/hyperlink" Target="https://shopping.lotuss.com/en/product/dna-soy-milk-with-extra-black-sesame-180ml-x-4pcs-166578339" TargetMode="External"/><Relationship Id="rId39" Type="http://schemas.openxmlformats.org/officeDocument/2006/relationships/hyperlink" Target="https://www.bigc.co.th/search?q=%E0%B9%84%E0%B8%A1%E0%B9%82%E0%B8%A5%20%E0%B8%99%E0%B8%A1%E0%B8%A2%E0%B8%B9%E0%B9%80%E0%B8%AD%E0%B8%8A%E0%B8%97%E0%B8%B5%20115%20%E0%B8%A1%E0%B8%A5.%20%E0%B9%81%E0%B8%9E%E0%B9%87%E0%B8%84%204" TargetMode="External"/><Relationship Id="rId38" Type="http://schemas.openxmlformats.org/officeDocument/2006/relationships/hyperlink" Target="https://www.bigc.co.th/product/dutch-mill-dina-uht-soy-milk-mixed-with-corn-milk-180-ml-pack-4.5811" TargetMode="External"/><Relationship Id="rId20" Type="http://schemas.openxmlformats.org/officeDocument/2006/relationships/hyperlink" Target="https://shopping.lotuss.com/en/product/nestl-pure-life-drinking-water-1500ml-x-6pcs-150223816" TargetMode="External"/><Relationship Id="rId22" Type="http://schemas.openxmlformats.org/officeDocument/2006/relationships/hyperlink" Target="https://www.bigc.co.th/shop/nestle/group/shop-nestle-brand-nestle-purelife" TargetMode="External"/><Relationship Id="rId21" Type="http://schemas.openxmlformats.org/officeDocument/2006/relationships/hyperlink" Target="https://www.makro.pro/en/c/search?q=NESTLE" TargetMode="External"/><Relationship Id="rId24" Type="http://schemas.openxmlformats.org/officeDocument/2006/relationships/hyperlink" Target="https://www.bigc.co.th/product/sigha-water-1-5-l-pack-6.744" TargetMode="External"/><Relationship Id="rId23" Type="http://schemas.openxmlformats.org/officeDocument/2006/relationships/hyperlink" Target="https://www.makro.pro/en/c/search?q=NESTLE" TargetMode="External"/><Relationship Id="rId26" Type="http://schemas.openxmlformats.org/officeDocument/2006/relationships/hyperlink" Target="https://www.makro.pro/en/p/9zvr82iu-6761199173827" TargetMode="External"/><Relationship Id="rId25" Type="http://schemas.openxmlformats.org/officeDocument/2006/relationships/hyperlink" Target="https://shopping.lotuss.com/en/product/singha-drinking-water-1500ml-x-6pcs-150146313" TargetMode="External"/><Relationship Id="rId28" Type="http://schemas.openxmlformats.org/officeDocument/2006/relationships/hyperlink" Target="https://www.makro.pro/en/p/cfar5hht-7325020881091" TargetMode="External"/><Relationship Id="rId27" Type="http://schemas.openxmlformats.org/officeDocument/2006/relationships/hyperlink" Target="https://www.bigc.co.th/shop/singha/group/shop-singha-crazy-deal" TargetMode="External"/><Relationship Id="rId29" Type="http://schemas.openxmlformats.org/officeDocument/2006/relationships/hyperlink" Target="https://www.bigc.co.th/search?q=%E0%B8%94%E0%B8%B1%E0%B8%8A%E0%B8%A1%E0%B8%B4%E0%B8%A5%E0%B8%A5%E0%B9%8C%20%E0%B8%99%E0%B8%A1%E0%B9%80%E0%B8%9B%E0%B8%A3%E0%B8%B5%E0%B9%89%E0%B8%A2%E0%B8%A7%20%E0%B8%A3%E0%B8%AA%E0%B8%9A%E0%B8%A5%E0%B8%B9%E0%B9%80%E0%B8%9A%E0%B8%AD%E0%B8%A3%E0%B9%8C%E0%B8%A3%E0%B8%B5%E0%B9%88%20%E0%B8%A2%E0%B8%B9%E0%B9%80%E0%B8%AD%E0%B8%8A%E0%B8%97%E0%B8%B5%20180%20%E0%B8%A1%E0%B8%A5%20%E0%B9%81%E0%B8%9E%E0%B9%87%E0%B8%84%204" TargetMode="External"/><Relationship Id="rId51" Type="http://schemas.openxmlformats.org/officeDocument/2006/relationships/hyperlink" Target="https://www.bigc.co.th/search?q=%E0%B8%AB%E0%B8%99%E0%B8%AD%E0%B8%87%E0%B9%82%E0%B8%9E%20%E0%B8%99%E0%B8%A1%E0%B8%A2%E0%B8%B9%E0%B9%80%E0%B8%AD%E0%B8%8A%E0%B8%97%E0%B8%B5%20225%20%E0%B8%A1%E0%B8%A5.%20%E0%B9%81%E0%B8%9E%E0%B9%87%E0%B8%84%204" TargetMode="External"/><Relationship Id="rId50" Type="http://schemas.openxmlformats.org/officeDocument/2006/relationships/hyperlink" Target="https://www.lotuss.com/th/product/52013735" TargetMode="External"/><Relationship Id="rId53" Type="http://schemas.openxmlformats.org/officeDocument/2006/relationships/hyperlink" Target="https://www.bigc.co.th/product/nhongpho-uht-milk-plain-flavor-size-225-ml-pack-4.11041" TargetMode="External"/><Relationship Id="rId52" Type="http://schemas.openxmlformats.org/officeDocument/2006/relationships/hyperlink" Target="https://shopping.lotuss.com/en/product/nongpho-plain-flavour-uht-milk-225ml-x-4pcs-164556933" TargetMode="External"/><Relationship Id="rId11" Type="http://schemas.openxmlformats.org/officeDocument/2006/relationships/hyperlink" Target="https://www.bigc.co.th/group/fanta-20250130" TargetMode="External"/><Relationship Id="rId55" Type="http://schemas.openxmlformats.org/officeDocument/2006/relationships/hyperlink" Target="https://www.bigc.co.th/search?q=%E0%B8%AB%E0%B8%99%E0%B8%AD%E0%B8%87%E0%B9%82%E0%B8%9E%20%E0%B8%99%E0%B8%A1%E0%B8%A2%E0%B8%B9%E0%B9%80%E0%B8%AD%E0%B8%8A%E0%B8%97%E0%B8%B5%20%E0%B8%A3%E0%B8%AA%E0%B8%88%E0%B8%B7%E0%B8%94%20%E0%B8%82%E0%B8%99%E0%B8%B2%E0%B8%94%20225%20%E0%B8%A1%E0%B8%A5.%20%E0%B9%81%E0%B8%9E%E0%B9%87%E0%B8%84%204" TargetMode="External"/><Relationship Id="rId10" Type="http://schemas.openxmlformats.org/officeDocument/2006/relationships/hyperlink" Target="https://www.bigc.co.th/shop/coca-cola/group/shop-coca-cola-brand-coke" TargetMode="External"/><Relationship Id="rId54" Type="http://schemas.openxmlformats.org/officeDocument/2006/relationships/hyperlink" Target="https://ppe-shopping.lotuss.com/th/product/nongpho-uht-sweetened-flavoured-milk-225ml-x-4pcs-164556870" TargetMode="External"/><Relationship Id="rId13" Type="http://schemas.openxmlformats.org/officeDocument/2006/relationships/hyperlink" Target="https://www.bigc.co.th/group/fanta-20250130" TargetMode="External"/><Relationship Id="rId57" Type="http://schemas.openxmlformats.org/officeDocument/2006/relationships/hyperlink" Target="https://www.bigc.co.th/ovaltine-uht-milk-hi9-180-ml.html" TargetMode="External"/><Relationship Id="rId12" Type="http://schemas.openxmlformats.org/officeDocument/2006/relationships/hyperlink" Target="https://shopping.lotuss.com/en/product/168843247" TargetMode="External"/><Relationship Id="rId56" Type="http://schemas.openxmlformats.org/officeDocument/2006/relationships/hyperlink" Target="https://shopping.lotuss.com/th/smartx/product/ovaltine-high-calcium-malt-chocolate-flavoured-uht-milk-product-180ml-x-4pcs-162618708" TargetMode="External"/><Relationship Id="rId15" Type="http://schemas.openxmlformats.org/officeDocument/2006/relationships/hyperlink" Target="https://www.bigc.co.th/group/tnt-disc-20230810" TargetMode="External"/><Relationship Id="rId14" Type="http://schemas.openxmlformats.org/officeDocument/2006/relationships/hyperlink" Target="https://shopping.lotuss.com/en/product/171326974" TargetMode="External"/><Relationship Id="rId58" Type="http://schemas.openxmlformats.org/officeDocument/2006/relationships/drawing" Target="../drawings/drawing3.xml"/><Relationship Id="rId17" Type="http://schemas.openxmlformats.org/officeDocument/2006/relationships/hyperlink" Target="https://www.google.com/search?q=Lay%27s+Original+48g+x+6+units+Makro+%E0%B8%A3%E0%B8%B2%E0%B8%84%E0%B8%B2" TargetMode="External"/><Relationship Id="rId16" Type="http://schemas.openxmlformats.org/officeDocument/2006/relationships/hyperlink" Target="https://www.google.com/search?q=Lay%27s+Original+48g+x+6+units+Lotus+%E0%B8%A3%E0%B8%B2%E0%B8%84%E0%B8%B2" TargetMode="External"/><Relationship Id="rId19" Type="http://schemas.openxmlformats.org/officeDocument/2006/relationships/hyperlink" Target="https://www.bigc.co.th/shop/nestle/group/shop-nestle-brand-nestle-purelife" TargetMode="External"/><Relationship Id="rId18" Type="http://schemas.openxmlformats.org/officeDocument/2006/relationships/hyperlink" Target="https://www.google.com/search?q=Lay%27s+Original+48g+x+6+units+BigC+%E0%B8%A3%E0%B8%B2%E0%B8%84%E0%B8%B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18.71"/>
    <col customWidth="1" min="4" max="4" width="51.57"/>
    <col customWidth="1" min="5" max="19" width="18.71"/>
    <col customWidth="1" min="20" max="20" width="45.86"/>
    <col customWidth="1" min="21" max="27" width="8.71"/>
  </cols>
  <sheetData>
    <row r="1">
      <c r="A1" s="7" t="s">
        <v>7</v>
      </c>
      <c r="B1" s="7" t="s">
        <v>10</v>
      </c>
      <c r="C1" s="8" t="s">
        <v>11</v>
      </c>
      <c r="D1" s="8" t="s">
        <v>12</v>
      </c>
      <c r="E1" s="8" t="s">
        <v>13</v>
      </c>
      <c r="F1" s="8" t="s">
        <v>14</v>
      </c>
      <c r="G1" s="7" t="s">
        <v>15</v>
      </c>
      <c r="H1" s="7" t="s">
        <v>16</v>
      </c>
      <c r="I1" s="8" t="s">
        <v>17</v>
      </c>
      <c r="J1" s="7" t="s">
        <v>19</v>
      </c>
      <c r="K1" s="7" t="s">
        <v>21</v>
      </c>
      <c r="L1" s="7" t="s">
        <v>22</v>
      </c>
      <c r="M1" s="7" t="s">
        <v>23</v>
      </c>
      <c r="N1" s="7" t="s">
        <v>25</v>
      </c>
      <c r="O1" s="7" t="s">
        <v>29</v>
      </c>
      <c r="P1" s="7" t="s">
        <v>32</v>
      </c>
      <c r="Q1" s="7" t="s">
        <v>35</v>
      </c>
      <c r="R1" s="7" t="s">
        <v>38</v>
      </c>
      <c r="S1" s="7" t="s">
        <v>39</v>
      </c>
      <c r="T1" s="7" t="s">
        <v>41</v>
      </c>
      <c r="U1" s="11"/>
      <c r="V1" s="11"/>
      <c r="W1" s="11"/>
      <c r="X1" s="11"/>
      <c r="Y1" s="11"/>
      <c r="Z1" s="11"/>
      <c r="AA1" s="11"/>
    </row>
    <row r="2">
      <c r="A2" s="12" t="s">
        <v>42</v>
      </c>
      <c r="B2" s="12" t="s">
        <v>43</v>
      </c>
      <c r="C2" s="12" t="s">
        <v>47</v>
      </c>
      <c r="D2" s="12" t="s">
        <v>48</v>
      </c>
      <c r="E2" s="12">
        <v>20.0</v>
      </c>
      <c r="F2" s="12" t="s">
        <v>51</v>
      </c>
      <c r="G2" s="11"/>
      <c r="H2" s="12" t="s">
        <v>52</v>
      </c>
      <c r="I2" s="14"/>
      <c r="J2" s="14"/>
      <c r="K2" s="14"/>
      <c r="L2" s="14"/>
      <c r="M2" s="14" t="str">
        <f t="shared" ref="M2:M86" si="1">IF(COUNT(J2:L2)=0,"",MIN(J2:L2))</f>
        <v/>
      </c>
      <c r="N2" s="14" t="str">
        <f t="shared" ref="N2:N86" si="2">IF(COUNT(J2:L2)=0,"",MAX(J2:L2))</f>
        <v/>
      </c>
      <c r="O2" s="14" t="str">
        <f t="shared" ref="O2:O86" si="3">IF(COUNT(J2:L2)=0,"",N2-M2)</f>
        <v/>
      </c>
      <c r="P2" s="16" t="str">
        <f t="shared" ref="P2:P86" si="4">IF(OR(M2="",M2=0),"",O2/M2)</f>
        <v/>
      </c>
      <c r="Q2" s="12" t="str">
        <f t="shared" ref="Q2:Q86" si="5">IF(M2="","",INDEX($J$1:$L$1,1,MATCH(M2,J2:L2,0)))</f>
        <v/>
      </c>
      <c r="R2" s="12" t="s">
        <v>64</v>
      </c>
      <c r="S2" s="12" t="str">
        <f t="shared" ref="S2:S86" si="6">IF(COUNT(J2:L2)&lt;3,"Review",IF(P2&gt;=0.1,"High",IF(P2&gt;=0.05,"Medium","Low")))</f>
        <v>Review</v>
      </c>
      <c r="T2" s="11"/>
      <c r="U2" s="11"/>
      <c r="V2" s="11"/>
      <c r="W2" s="11"/>
      <c r="X2" s="11"/>
      <c r="Y2" s="11"/>
      <c r="Z2" s="11"/>
      <c r="AA2" s="11"/>
    </row>
    <row r="3">
      <c r="A3" s="12" t="s">
        <v>42</v>
      </c>
      <c r="B3" s="12" t="s">
        <v>43</v>
      </c>
      <c r="C3" s="12" t="s">
        <v>47</v>
      </c>
      <c r="D3" s="12" t="s">
        <v>70</v>
      </c>
      <c r="E3" s="12">
        <v>20.0</v>
      </c>
      <c r="F3" s="12" t="s">
        <v>51</v>
      </c>
      <c r="G3" s="11"/>
      <c r="H3" s="12" t="s">
        <v>71</v>
      </c>
      <c r="I3" s="14"/>
      <c r="J3" s="14"/>
      <c r="K3" s="14"/>
      <c r="L3" s="14"/>
      <c r="M3" s="14" t="str">
        <f t="shared" si="1"/>
        <v/>
      </c>
      <c r="N3" s="14" t="str">
        <f t="shared" si="2"/>
        <v/>
      </c>
      <c r="O3" s="14" t="str">
        <f t="shared" si="3"/>
        <v/>
      </c>
      <c r="P3" s="16" t="str">
        <f t="shared" si="4"/>
        <v/>
      </c>
      <c r="Q3" s="12" t="str">
        <f t="shared" si="5"/>
        <v/>
      </c>
      <c r="R3" s="12" t="s">
        <v>64</v>
      </c>
      <c r="S3" s="12" t="str">
        <f t="shared" si="6"/>
        <v>Review</v>
      </c>
      <c r="T3" s="11"/>
      <c r="U3" s="11"/>
      <c r="V3" s="11"/>
      <c r="W3" s="11"/>
      <c r="X3" s="11"/>
      <c r="Y3" s="11"/>
      <c r="Z3" s="11"/>
      <c r="AA3" s="11"/>
    </row>
    <row r="4">
      <c r="A4" s="12" t="s">
        <v>76</v>
      </c>
      <c r="B4" s="12" t="s">
        <v>77</v>
      </c>
      <c r="C4" s="12" t="s">
        <v>79</v>
      </c>
      <c r="D4" s="17" t="s">
        <v>80</v>
      </c>
      <c r="E4" s="12">
        <v>140.0</v>
      </c>
      <c r="F4" s="12" t="s">
        <v>82</v>
      </c>
      <c r="G4" s="11"/>
      <c r="H4" s="12" t="s">
        <v>83</v>
      </c>
      <c r="I4" s="18">
        <v>140.0</v>
      </c>
      <c r="J4" s="14"/>
      <c r="K4" s="14"/>
      <c r="L4" s="14"/>
      <c r="M4" s="14" t="str">
        <f t="shared" si="1"/>
        <v/>
      </c>
      <c r="N4" s="14" t="str">
        <f t="shared" si="2"/>
        <v/>
      </c>
      <c r="O4" s="14" t="str">
        <f t="shared" si="3"/>
        <v/>
      </c>
      <c r="P4" s="16" t="str">
        <f t="shared" si="4"/>
        <v/>
      </c>
      <c r="Q4" s="12" t="str">
        <f t="shared" si="5"/>
        <v/>
      </c>
      <c r="R4" s="12" t="s">
        <v>64</v>
      </c>
      <c r="S4" s="12" t="str">
        <f t="shared" si="6"/>
        <v>Review</v>
      </c>
      <c r="T4" s="12" t="s">
        <v>85</v>
      </c>
      <c r="U4" s="11"/>
      <c r="V4" s="11"/>
      <c r="W4" s="11"/>
      <c r="X4" s="11"/>
      <c r="Y4" s="11"/>
      <c r="Z4" s="11"/>
      <c r="AA4" s="11"/>
    </row>
    <row r="5">
      <c r="A5" s="12" t="s">
        <v>76</v>
      </c>
      <c r="B5" s="12" t="s">
        <v>77</v>
      </c>
      <c r="C5" s="12" t="s">
        <v>79</v>
      </c>
      <c r="D5" s="19" t="s">
        <v>86</v>
      </c>
      <c r="E5" s="12">
        <v>140.0</v>
      </c>
      <c r="F5" s="12" t="s">
        <v>82</v>
      </c>
      <c r="G5" s="11"/>
      <c r="H5" s="12" t="s">
        <v>89</v>
      </c>
      <c r="I5" s="18">
        <v>140.0</v>
      </c>
      <c r="J5" s="14"/>
      <c r="K5" s="14"/>
      <c r="L5" s="14"/>
      <c r="M5" s="14" t="str">
        <f t="shared" si="1"/>
        <v/>
      </c>
      <c r="N5" s="14" t="str">
        <f t="shared" si="2"/>
        <v/>
      </c>
      <c r="O5" s="14" t="str">
        <f t="shared" si="3"/>
        <v/>
      </c>
      <c r="P5" s="16" t="str">
        <f t="shared" si="4"/>
        <v/>
      </c>
      <c r="Q5" s="12" t="str">
        <f t="shared" si="5"/>
        <v/>
      </c>
      <c r="R5" s="12" t="s">
        <v>64</v>
      </c>
      <c r="S5" s="12" t="str">
        <f t="shared" si="6"/>
        <v>Review</v>
      </c>
      <c r="T5" s="12" t="s">
        <v>85</v>
      </c>
      <c r="U5" s="11"/>
      <c r="V5" s="11"/>
      <c r="W5" s="11"/>
      <c r="X5" s="11"/>
      <c r="Y5" s="11"/>
      <c r="Z5" s="11"/>
      <c r="AA5" s="11"/>
    </row>
    <row r="6">
      <c r="A6" s="12" t="s">
        <v>76</v>
      </c>
      <c r="B6" s="12" t="s">
        <v>77</v>
      </c>
      <c r="C6" s="12" t="s">
        <v>79</v>
      </c>
      <c r="D6" s="17" t="s">
        <v>97</v>
      </c>
      <c r="E6" s="12">
        <v>140.0</v>
      </c>
      <c r="F6" s="12" t="s">
        <v>82</v>
      </c>
      <c r="G6" s="11"/>
      <c r="H6" s="12" t="s">
        <v>100</v>
      </c>
      <c r="I6" s="18">
        <v>140.0</v>
      </c>
      <c r="J6" s="14"/>
      <c r="K6" s="14"/>
      <c r="L6" s="14"/>
      <c r="M6" s="14" t="str">
        <f t="shared" si="1"/>
        <v/>
      </c>
      <c r="N6" s="14" t="str">
        <f t="shared" si="2"/>
        <v/>
      </c>
      <c r="O6" s="14" t="str">
        <f t="shared" si="3"/>
        <v/>
      </c>
      <c r="P6" s="16" t="str">
        <f t="shared" si="4"/>
        <v/>
      </c>
      <c r="Q6" s="12" t="str">
        <f t="shared" si="5"/>
        <v/>
      </c>
      <c r="R6" s="12" t="s">
        <v>64</v>
      </c>
      <c r="S6" s="12" t="str">
        <f t="shared" si="6"/>
        <v>Review</v>
      </c>
      <c r="T6" s="12" t="s">
        <v>85</v>
      </c>
      <c r="U6" s="11"/>
      <c r="V6" s="11"/>
      <c r="W6" s="11"/>
      <c r="X6" s="11"/>
      <c r="Y6" s="11"/>
      <c r="Z6" s="11"/>
      <c r="AA6" s="11"/>
    </row>
    <row r="7">
      <c r="A7" s="12" t="s">
        <v>76</v>
      </c>
      <c r="B7" s="12" t="s">
        <v>103</v>
      </c>
      <c r="C7" s="12" t="s">
        <v>104</v>
      </c>
      <c r="D7" s="12" t="s">
        <v>105</v>
      </c>
      <c r="E7" s="12">
        <v>90.0</v>
      </c>
      <c r="F7" s="12" t="s">
        <v>82</v>
      </c>
      <c r="G7" s="11"/>
      <c r="H7" s="12" t="s">
        <v>106</v>
      </c>
      <c r="I7" s="18">
        <v>19.0</v>
      </c>
      <c r="J7" s="14"/>
      <c r="K7" s="14"/>
      <c r="L7" s="14"/>
      <c r="M7" s="14" t="str">
        <f t="shared" si="1"/>
        <v/>
      </c>
      <c r="N7" s="14" t="str">
        <f t="shared" si="2"/>
        <v/>
      </c>
      <c r="O7" s="14" t="str">
        <f t="shared" si="3"/>
        <v/>
      </c>
      <c r="P7" s="16" t="str">
        <f t="shared" si="4"/>
        <v/>
      </c>
      <c r="Q7" s="12" t="str">
        <f t="shared" si="5"/>
        <v/>
      </c>
      <c r="R7" s="12" t="s">
        <v>64</v>
      </c>
      <c r="S7" s="12" t="str">
        <f t="shared" si="6"/>
        <v>Review</v>
      </c>
      <c r="T7" s="12" t="s">
        <v>85</v>
      </c>
      <c r="U7" s="11"/>
      <c r="V7" s="11"/>
      <c r="W7" s="11"/>
      <c r="X7" s="11"/>
      <c r="Y7" s="11"/>
      <c r="Z7" s="11"/>
      <c r="AA7" s="11"/>
    </row>
    <row r="8">
      <c r="A8" s="12" t="s">
        <v>76</v>
      </c>
      <c r="B8" s="12" t="s">
        <v>103</v>
      </c>
      <c r="C8" s="12" t="s">
        <v>104</v>
      </c>
      <c r="D8" s="12" t="s">
        <v>116</v>
      </c>
      <c r="E8" s="12">
        <v>90.0</v>
      </c>
      <c r="F8" s="12" t="s">
        <v>82</v>
      </c>
      <c r="G8" s="11"/>
      <c r="H8" s="12" t="s">
        <v>117</v>
      </c>
      <c r="I8" s="18">
        <v>19.0</v>
      </c>
      <c r="J8" s="14"/>
      <c r="K8" s="14"/>
      <c r="L8" s="14"/>
      <c r="M8" s="14" t="str">
        <f t="shared" si="1"/>
        <v/>
      </c>
      <c r="N8" s="14" t="str">
        <f t="shared" si="2"/>
        <v/>
      </c>
      <c r="O8" s="14" t="str">
        <f t="shared" si="3"/>
        <v/>
      </c>
      <c r="P8" s="16" t="str">
        <f t="shared" si="4"/>
        <v/>
      </c>
      <c r="Q8" s="12" t="str">
        <f t="shared" si="5"/>
        <v/>
      </c>
      <c r="R8" s="12" t="s">
        <v>64</v>
      </c>
      <c r="S8" s="12" t="str">
        <f t="shared" si="6"/>
        <v>Review</v>
      </c>
      <c r="T8" s="12" t="s">
        <v>85</v>
      </c>
      <c r="U8" s="11"/>
      <c r="V8" s="11"/>
      <c r="W8" s="11"/>
      <c r="X8" s="11"/>
      <c r="Y8" s="11"/>
      <c r="Z8" s="11"/>
      <c r="AA8" s="11"/>
    </row>
    <row r="9">
      <c r="A9" s="12" t="s">
        <v>76</v>
      </c>
      <c r="B9" s="12" t="s">
        <v>103</v>
      </c>
      <c r="C9" s="12" t="s">
        <v>104</v>
      </c>
      <c r="D9" s="12" t="s">
        <v>122</v>
      </c>
      <c r="E9" s="12">
        <v>90.0</v>
      </c>
      <c r="F9" s="12" t="s">
        <v>82</v>
      </c>
      <c r="G9" s="11"/>
      <c r="H9" s="12" t="s">
        <v>128</v>
      </c>
      <c r="I9" s="18">
        <v>19.0</v>
      </c>
      <c r="J9" s="14"/>
      <c r="K9" s="14"/>
      <c r="L9" s="14"/>
      <c r="M9" s="14" t="str">
        <f t="shared" si="1"/>
        <v/>
      </c>
      <c r="N9" s="14" t="str">
        <f t="shared" si="2"/>
        <v/>
      </c>
      <c r="O9" s="14" t="str">
        <f t="shared" si="3"/>
        <v/>
      </c>
      <c r="P9" s="16" t="str">
        <f t="shared" si="4"/>
        <v/>
      </c>
      <c r="Q9" s="12" t="str">
        <f t="shared" si="5"/>
        <v/>
      </c>
      <c r="R9" s="12" t="s">
        <v>64</v>
      </c>
      <c r="S9" s="12" t="str">
        <f t="shared" si="6"/>
        <v>Review</v>
      </c>
      <c r="T9" s="12" t="s">
        <v>85</v>
      </c>
      <c r="U9" s="11"/>
      <c r="V9" s="11"/>
      <c r="W9" s="11"/>
      <c r="X9" s="11"/>
      <c r="Y9" s="11"/>
      <c r="Z9" s="11"/>
      <c r="AA9" s="11"/>
    </row>
    <row r="10">
      <c r="A10" s="12" t="s">
        <v>76</v>
      </c>
      <c r="B10" s="12" t="s">
        <v>103</v>
      </c>
      <c r="C10" s="12" t="s">
        <v>104</v>
      </c>
      <c r="D10" s="12" t="s">
        <v>130</v>
      </c>
      <c r="E10" s="12">
        <v>90.0</v>
      </c>
      <c r="F10" s="12" t="s">
        <v>82</v>
      </c>
      <c r="G10" s="11"/>
      <c r="H10" s="12" t="s">
        <v>131</v>
      </c>
      <c r="I10" s="18">
        <v>19.0</v>
      </c>
      <c r="J10" s="14"/>
      <c r="K10" s="14"/>
      <c r="L10" s="14"/>
      <c r="M10" s="14" t="str">
        <f t="shared" si="1"/>
        <v/>
      </c>
      <c r="N10" s="14" t="str">
        <f t="shared" si="2"/>
        <v/>
      </c>
      <c r="O10" s="14" t="str">
        <f t="shared" si="3"/>
        <v/>
      </c>
      <c r="P10" s="16" t="str">
        <f t="shared" si="4"/>
        <v/>
      </c>
      <c r="Q10" s="12" t="str">
        <f t="shared" si="5"/>
        <v/>
      </c>
      <c r="R10" s="12" t="s">
        <v>64</v>
      </c>
      <c r="S10" s="12" t="str">
        <f t="shared" si="6"/>
        <v>Review</v>
      </c>
      <c r="T10" s="12" t="s">
        <v>85</v>
      </c>
      <c r="U10" s="11"/>
      <c r="V10" s="11"/>
      <c r="W10" s="11"/>
      <c r="X10" s="11"/>
      <c r="Y10" s="11"/>
      <c r="Z10" s="11"/>
      <c r="AA10" s="11"/>
    </row>
    <row r="11">
      <c r="A11" s="12" t="s">
        <v>76</v>
      </c>
      <c r="B11" s="12" t="s">
        <v>103</v>
      </c>
      <c r="C11" s="12" t="s">
        <v>104</v>
      </c>
      <c r="D11" s="12" t="s">
        <v>133</v>
      </c>
      <c r="E11" s="12">
        <v>90.0</v>
      </c>
      <c r="F11" s="12" t="s">
        <v>82</v>
      </c>
      <c r="G11" s="11"/>
      <c r="H11" s="12" t="s">
        <v>134</v>
      </c>
      <c r="I11" s="18">
        <v>19.0</v>
      </c>
      <c r="J11" s="14"/>
      <c r="K11" s="14"/>
      <c r="L11" s="14"/>
      <c r="M11" s="14" t="str">
        <f t="shared" si="1"/>
        <v/>
      </c>
      <c r="N11" s="14" t="str">
        <f t="shared" si="2"/>
        <v/>
      </c>
      <c r="O11" s="14" t="str">
        <f t="shared" si="3"/>
        <v/>
      </c>
      <c r="P11" s="16" t="str">
        <f t="shared" si="4"/>
        <v/>
      </c>
      <c r="Q11" s="12" t="str">
        <f t="shared" si="5"/>
        <v/>
      </c>
      <c r="R11" s="12" t="s">
        <v>64</v>
      </c>
      <c r="S11" s="12" t="str">
        <f t="shared" si="6"/>
        <v>Review</v>
      </c>
      <c r="T11" s="12" t="s">
        <v>85</v>
      </c>
      <c r="U11" s="11"/>
      <c r="V11" s="11"/>
      <c r="W11" s="11"/>
      <c r="X11" s="11"/>
      <c r="Y11" s="11"/>
      <c r="Z11" s="11"/>
      <c r="AA11" s="11"/>
    </row>
    <row r="12">
      <c r="A12" s="12" t="s">
        <v>76</v>
      </c>
      <c r="B12" s="12" t="s">
        <v>140</v>
      </c>
      <c r="C12" s="12" t="s">
        <v>104</v>
      </c>
      <c r="D12" s="12" t="s">
        <v>142</v>
      </c>
      <c r="E12" s="12">
        <v>180.0</v>
      </c>
      <c r="F12" s="12" t="s">
        <v>82</v>
      </c>
      <c r="G12" s="11"/>
      <c r="H12" s="12" t="s">
        <v>144</v>
      </c>
      <c r="I12" s="18">
        <v>37.0</v>
      </c>
      <c r="J12" s="14"/>
      <c r="K12" s="14"/>
      <c r="L12" s="14"/>
      <c r="M12" s="14" t="str">
        <f t="shared" si="1"/>
        <v/>
      </c>
      <c r="N12" s="14" t="str">
        <f t="shared" si="2"/>
        <v/>
      </c>
      <c r="O12" s="14" t="str">
        <f t="shared" si="3"/>
        <v/>
      </c>
      <c r="P12" s="16" t="str">
        <f t="shared" si="4"/>
        <v/>
      </c>
      <c r="Q12" s="12" t="str">
        <f t="shared" si="5"/>
        <v/>
      </c>
      <c r="R12" s="12" t="s">
        <v>64</v>
      </c>
      <c r="S12" s="12" t="str">
        <f t="shared" si="6"/>
        <v>Review</v>
      </c>
      <c r="T12" s="12" t="s">
        <v>85</v>
      </c>
      <c r="U12" s="11"/>
      <c r="V12" s="11"/>
      <c r="W12" s="11"/>
      <c r="X12" s="11"/>
      <c r="Y12" s="11"/>
      <c r="Z12" s="11"/>
      <c r="AA12" s="11"/>
    </row>
    <row r="13">
      <c r="A13" s="12" t="s">
        <v>76</v>
      </c>
      <c r="B13" s="12" t="s">
        <v>103</v>
      </c>
      <c r="C13" s="12" t="s">
        <v>104</v>
      </c>
      <c r="D13" s="12" t="s">
        <v>147</v>
      </c>
      <c r="E13" s="12">
        <v>180.0</v>
      </c>
      <c r="F13" s="12" t="s">
        <v>82</v>
      </c>
      <c r="G13" s="11"/>
      <c r="H13" s="12" t="s">
        <v>149</v>
      </c>
      <c r="I13" s="18">
        <v>35.0</v>
      </c>
      <c r="J13" s="14"/>
      <c r="K13" s="14"/>
      <c r="L13" s="18">
        <v>38.0</v>
      </c>
      <c r="M13" s="14">
        <f t="shared" si="1"/>
        <v>38</v>
      </c>
      <c r="N13" s="14">
        <f t="shared" si="2"/>
        <v>38</v>
      </c>
      <c r="O13" s="14">
        <f t="shared" si="3"/>
        <v>0</v>
      </c>
      <c r="P13" s="16">
        <f t="shared" si="4"/>
        <v>0</v>
      </c>
      <c r="Q13" s="12" t="str">
        <f t="shared" si="5"/>
        <v>BigC Price</v>
      </c>
      <c r="R13" s="12" t="s">
        <v>64</v>
      </c>
      <c r="S13" s="12" t="str">
        <f t="shared" si="6"/>
        <v>Review</v>
      </c>
      <c r="T13" s="12" t="s">
        <v>158</v>
      </c>
      <c r="U13" s="11"/>
      <c r="V13" s="11"/>
      <c r="W13" s="11"/>
      <c r="X13" s="11"/>
      <c r="Y13" s="11"/>
      <c r="Z13" s="11"/>
      <c r="AA13" s="11"/>
    </row>
    <row r="14">
      <c r="A14" s="12" t="s">
        <v>76</v>
      </c>
      <c r="B14" s="12" t="s">
        <v>103</v>
      </c>
      <c r="C14" s="12" t="s">
        <v>104</v>
      </c>
      <c r="D14" s="12" t="s">
        <v>160</v>
      </c>
      <c r="E14" s="12">
        <v>180.0</v>
      </c>
      <c r="F14" s="12" t="s">
        <v>82</v>
      </c>
      <c r="G14" s="11"/>
      <c r="H14" s="12" t="s">
        <v>161</v>
      </c>
      <c r="I14" s="18">
        <v>35.0</v>
      </c>
      <c r="J14" s="18">
        <v>38.0</v>
      </c>
      <c r="K14" s="14"/>
      <c r="L14" s="18">
        <v>33.0</v>
      </c>
      <c r="M14" s="14">
        <f t="shared" si="1"/>
        <v>33</v>
      </c>
      <c r="N14" s="14">
        <f t="shared" si="2"/>
        <v>38</v>
      </c>
      <c r="O14" s="14">
        <f t="shared" si="3"/>
        <v>5</v>
      </c>
      <c r="P14" s="16">
        <f t="shared" si="4"/>
        <v>0.1515151515</v>
      </c>
      <c r="Q14" s="12" t="str">
        <f t="shared" si="5"/>
        <v>BigC Price</v>
      </c>
      <c r="R14" s="12" t="s">
        <v>64</v>
      </c>
      <c r="S14" s="12" t="str">
        <f t="shared" si="6"/>
        <v>Review</v>
      </c>
      <c r="T14" s="12" t="s">
        <v>164</v>
      </c>
      <c r="U14" s="11"/>
      <c r="V14" s="11"/>
      <c r="W14" s="11"/>
      <c r="X14" s="11"/>
      <c r="Y14" s="11"/>
      <c r="Z14" s="11"/>
      <c r="AA14" s="11"/>
    </row>
    <row r="15">
      <c r="A15" s="12" t="s">
        <v>76</v>
      </c>
      <c r="B15" s="12" t="s">
        <v>103</v>
      </c>
      <c r="C15" s="12" t="s">
        <v>104</v>
      </c>
      <c r="D15" s="12" t="s">
        <v>165</v>
      </c>
      <c r="E15" s="12">
        <v>180.0</v>
      </c>
      <c r="F15" s="12" t="s">
        <v>82</v>
      </c>
      <c r="G15" s="11"/>
      <c r="H15" s="12" t="s">
        <v>166</v>
      </c>
      <c r="I15" s="18">
        <v>35.0</v>
      </c>
      <c r="J15" s="14"/>
      <c r="K15" s="14"/>
      <c r="L15" s="14">
        <f>11*4</f>
        <v>44</v>
      </c>
      <c r="M15" s="14">
        <f t="shared" si="1"/>
        <v>44</v>
      </c>
      <c r="N15" s="14">
        <f t="shared" si="2"/>
        <v>44</v>
      </c>
      <c r="O15" s="14">
        <f t="shared" si="3"/>
        <v>0</v>
      </c>
      <c r="P15" s="16">
        <f t="shared" si="4"/>
        <v>0</v>
      </c>
      <c r="Q15" s="12" t="str">
        <f t="shared" si="5"/>
        <v>BigC Price</v>
      </c>
      <c r="R15" s="12" t="s">
        <v>64</v>
      </c>
      <c r="S15" s="12" t="str">
        <f t="shared" si="6"/>
        <v>Review</v>
      </c>
      <c r="T15" s="12" t="s">
        <v>173</v>
      </c>
      <c r="U15" s="11"/>
      <c r="V15" s="11"/>
      <c r="W15" s="11"/>
      <c r="X15" s="11"/>
      <c r="Y15" s="11"/>
      <c r="Z15" s="11"/>
      <c r="AA15" s="11"/>
    </row>
    <row r="16">
      <c r="A16" s="12" t="s">
        <v>76</v>
      </c>
      <c r="B16" s="12" t="s">
        <v>103</v>
      </c>
      <c r="C16" s="12" t="s">
        <v>104</v>
      </c>
      <c r="D16" s="12" t="s">
        <v>176</v>
      </c>
      <c r="E16" s="12">
        <v>180.0</v>
      </c>
      <c r="F16" s="12" t="s">
        <v>82</v>
      </c>
      <c r="G16" s="11"/>
      <c r="H16" s="12" t="s">
        <v>178</v>
      </c>
      <c r="I16" s="18">
        <v>35.0</v>
      </c>
      <c r="J16" s="18">
        <v>38.0</v>
      </c>
      <c r="K16" s="14"/>
      <c r="L16" s="14"/>
      <c r="M16" s="14">
        <f t="shared" si="1"/>
        <v>38</v>
      </c>
      <c r="N16" s="14">
        <f t="shared" si="2"/>
        <v>38</v>
      </c>
      <c r="O16" s="14">
        <f t="shared" si="3"/>
        <v>0</v>
      </c>
      <c r="P16" s="16">
        <f t="shared" si="4"/>
        <v>0</v>
      </c>
      <c r="Q16" s="12" t="str">
        <f t="shared" si="5"/>
        <v>Lotus Price</v>
      </c>
      <c r="R16" s="12" t="s">
        <v>64</v>
      </c>
      <c r="S16" s="12" t="str">
        <f t="shared" si="6"/>
        <v>Review</v>
      </c>
      <c r="T16" s="12" t="s">
        <v>188</v>
      </c>
      <c r="U16" s="11"/>
      <c r="V16" s="11"/>
      <c r="W16" s="11"/>
      <c r="X16" s="11"/>
      <c r="Y16" s="11"/>
      <c r="Z16" s="11"/>
      <c r="AA16" s="11"/>
    </row>
    <row r="17">
      <c r="A17" s="12" t="s">
        <v>76</v>
      </c>
      <c r="B17" s="12" t="s">
        <v>103</v>
      </c>
      <c r="C17" s="12" t="s">
        <v>104</v>
      </c>
      <c r="D17" s="12" t="s">
        <v>193</v>
      </c>
      <c r="E17" s="12">
        <v>180.0</v>
      </c>
      <c r="F17" s="12" t="s">
        <v>82</v>
      </c>
      <c r="G17" s="11"/>
      <c r="H17" s="12" t="s">
        <v>194</v>
      </c>
      <c r="I17" s="18">
        <v>35.0</v>
      </c>
      <c r="J17" s="14"/>
      <c r="K17" s="14"/>
      <c r="L17" s="14">
        <f>11*4</f>
        <v>44</v>
      </c>
      <c r="M17" s="14">
        <f t="shared" si="1"/>
        <v>44</v>
      </c>
      <c r="N17" s="14">
        <f t="shared" si="2"/>
        <v>44</v>
      </c>
      <c r="O17" s="14">
        <f t="shared" si="3"/>
        <v>0</v>
      </c>
      <c r="P17" s="16">
        <f t="shared" si="4"/>
        <v>0</v>
      </c>
      <c r="Q17" s="12" t="str">
        <f t="shared" si="5"/>
        <v>BigC Price</v>
      </c>
      <c r="R17" s="12" t="s">
        <v>64</v>
      </c>
      <c r="S17" s="12" t="str">
        <f t="shared" si="6"/>
        <v>Review</v>
      </c>
      <c r="T17" s="12" t="s">
        <v>173</v>
      </c>
      <c r="U17" s="11"/>
      <c r="V17" s="11"/>
      <c r="W17" s="11"/>
      <c r="X17" s="11"/>
      <c r="Y17" s="11"/>
      <c r="Z17" s="11"/>
      <c r="AA17" s="11"/>
    </row>
    <row r="18">
      <c r="A18" s="12" t="s">
        <v>42</v>
      </c>
      <c r="B18" s="12" t="s">
        <v>206</v>
      </c>
      <c r="C18" s="12" t="s">
        <v>207</v>
      </c>
      <c r="D18" s="12" t="s">
        <v>208</v>
      </c>
      <c r="E18" s="12">
        <v>50.0</v>
      </c>
      <c r="F18" s="12" t="s">
        <v>210</v>
      </c>
      <c r="G18" s="11"/>
      <c r="H18" s="12" t="s">
        <v>212</v>
      </c>
      <c r="I18" s="18">
        <v>185.0</v>
      </c>
      <c r="J18" s="14"/>
      <c r="K18" s="14"/>
      <c r="L18" s="14"/>
      <c r="M18" s="14" t="str">
        <f t="shared" si="1"/>
        <v/>
      </c>
      <c r="N18" s="14" t="str">
        <f t="shared" si="2"/>
        <v/>
      </c>
      <c r="O18" s="14" t="str">
        <f t="shared" si="3"/>
        <v/>
      </c>
      <c r="P18" s="16" t="str">
        <f t="shared" si="4"/>
        <v/>
      </c>
      <c r="Q18" s="12" t="str">
        <f t="shared" si="5"/>
        <v/>
      </c>
      <c r="R18" s="12" t="s">
        <v>64</v>
      </c>
      <c r="S18" s="12" t="str">
        <f t="shared" si="6"/>
        <v>Review</v>
      </c>
      <c r="T18" s="11"/>
      <c r="U18" s="11"/>
      <c r="V18" s="11"/>
      <c r="W18" s="11"/>
      <c r="X18" s="11"/>
      <c r="Y18" s="11"/>
      <c r="Z18" s="11"/>
      <c r="AA18" s="11"/>
    </row>
    <row r="19">
      <c r="A19" s="12" t="s">
        <v>76</v>
      </c>
      <c r="B19" s="12" t="s">
        <v>219</v>
      </c>
      <c r="C19" s="12" t="s">
        <v>221</v>
      </c>
      <c r="D19" s="12" t="s">
        <v>223</v>
      </c>
      <c r="E19" s="12">
        <v>180.0</v>
      </c>
      <c r="F19" s="12" t="s">
        <v>82</v>
      </c>
      <c r="G19" s="11"/>
      <c r="H19" s="12" t="s">
        <v>224</v>
      </c>
      <c r="I19" s="18">
        <v>35.0</v>
      </c>
      <c r="J19" s="14"/>
      <c r="K19" s="14"/>
      <c r="L19" s="18">
        <v>38.0</v>
      </c>
      <c r="M19" s="14">
        <f t="shared" si="1"/>
        <v>38</v>
      </c>
      <c r="N19" s="14">
        <f t="shared" si="2"/>
        <v>38</v>
      </c>
      <c r="O19" s="14">
        <f t="shared" si="3"/>
        <v>0</v>
      </c>
      <c r="P19" s="16">
        <f t="shared" si="4"/>
        <v>0</v>
      </c>
      <c r="Q19" s="12" t="str">
        <f t="shared" si="5"/>
        <v>BigC Price</v>
      </c>
      <c r="R19" s="12" t="s">
        <v>64</v>
      </c>
      <c r="S19" s="12" t="str">
        <f t="shared" si="6"/>
        <v>Review</v>
      </c>
      <c r="T19" s="12" t="s">
        <v>232</v>
      </c>
      <c r="U19" s="11"/>
      <c r="V19" s="11"/>
      <c r="W19" s="11"/>
      <c r="X19" s="11"/>
      <c r="Y19" s="11"/>
      <c r="Z19" s="11"/>
      <c r="AA19" s="11"/>
    </row>
    <row r="20">
      <c r="A20" s="12" t="s">
        <v>76</v>
      </c>
      <c r="B20" s="12" t="s">
        <v>219</v>
      </c>
      <c r="C20" s="12" t="s">
        <v>221</v>
      </c>
      <c r="D20" s="12" t="s">
        <v>233</v>
      </c>
      <c r="E20" s="12">
        <v>180.0</v>
      </c>
      <c r="F20" s="12" t="s">
        <v>82</v>
      </c>
      <c r="G20" s="11"/>
      <c r="H20" s="12" t="s">
        <v>234</v>
      </c>
      <c r="I20" s="18">
        <v>35.0</v>
      </c>
      <c r="J20" s="18">
        <v>38.0</v>
      </c>
      <c r="K20" s="14"/>
      <c r="L20" s="18">
        <v>38.0</v>
      </c>
      <c r="M20" s="14">
        <f t="shared" si="1"/>
        <v>38</v>
      </c>
      <c r="N20" s="14">
        <f t="shared" si="2"/>
        <v>38</v>
      </c>
      <c r="O20" s="14">
        <f t="shared" si="3"/>
        <v>0</v>
      </c>
      <c r="P20" s="16">
        <f t="shared" si="4"/>
        <v>0</v>
      </c>
      <c r="Q20" s="12" t="str">
        <f t="shared" si="5"/>
        <v>Lotus Price</v>
      </c>
      <c r="R20" s="12" t="s">
        <v>64</v>
      </c>
      <c r="S20" s="12" t="str">
        <f t="shared" si="6"/>
        <v>Review</v>
      </c>
      <c r="T20" s="12" t="s">
        <v>240</v>
      </c>
      <c r="U20" s="11"/>
      <c r="V20" s="11"/>
      <c r="W20" s="11"/>
      <c r="X20" s="11"/>
      <c r="Y20" s="11"/>
      <c r="Z20" s="11"/>
      <c r="AA20" s="11"/>
    </row>
    <row r="21" ht="15.75" customHeight="1">
      <c r="A21" s="12" t="s">
        <v>76</v>
      </c>
      <c r="B21" s="12" t="s">
        <v>219</v>
      </c>
      <c r="C21" s="12" t="s">
        <v>221</v>
      </c>
      <c r="D21" s="12" t="s">
        <v>231</v>
      </c>
      <c r="E21" s="12">
        <v>180.0</v>
      </c>
      <c r="F21" s="12" t="s">
        <v>82</v>
      </c>
      <c r="G21" s="11"/>
      <c r="H21" s="12" t="s">
        <v>230</v>
      </c>
      <c r="I21" s="18">
        <v>35.0</v>
      </c>
      <c r="J21" s="18">
        <v>38.0</v>
      </c>
      <c r="K21" s="14"/>
      <c r="L21" s="18">
        <v>38.0</v>
      </c>
      <c r="M21" s="14">
        <f t="shared" si="1"/>
        <v>38</v>
      </c>
      <c r="N21" s="14">
        <f t="shared" si="2"/>
        <v>38</v>
      </c>
      <c r="O21" s="14">
        <f t="shared" si="3"/>
        <v>0</v>
      </c>
      <c r="P21" s="16">
        <f t="shared" si="4"/>
        <v>0</v>
      </c>
      <c r="Q21" s="12" t="str">
        <f t="shared" si="5"/>
        <v>Lotus Price</v>
      </c>
      <c r="R21" s="12" t="s">
        <v>64</v>
      </c>
      <c r="S21" s="12" t="str">
        <f t="shared" si="6"/>
        <v>Review</v>
      </c>
      <c r="T21" s="12" t="s">
        <v>240</v>
      </c>
      <c r="U21" s="11"/>
      <c r="V21" s="11"/>
      <c r="W21" s="11"/>
      <c r="X21" s="11"/>
      <c r="Y21" s="11"/>
      <c r="Z21" s="11"/>
      <c r="AA21" s="11"/>
    </row>
    <row r="22" ht="15.75" customHeight="1">
      <c r="A22" s="12" t="s">
        <v>76</v>
      </c>
      <c r="B22" s="12" t="s">
        <v>219</v>
      </c>
      <c r="C22" s="12" t="s">
        <v>221</v>
      </c>
      <c r="D22" s="12" t="s">
        <v>236</v>
      </c>
      <c r="E22" s="12">
        <v>180.0</v>
      </c>
      <c r="F22" s="12" t="s">
        <v>82</v>
      </c>
      <c r="G22" s="11"/>
      <c r="H22" s="12" t="s">
        <v>235</v>
      </c>
      <c r="I22" s="18">
        <v>35.0</v>
      </c>
      <c r="J22" s="14"/>
      <c r="K22" s="14"/>
      <c r="L22" s="18">
        <v>38.0</v>
      </c>
      <c r="M22" s="14">
        <f t="shared" si="1"/>
        <v>38</v>
      </c>
      <c r="N22" s="14">
        <f t="shared" si="2"/>
        <v>38</v>
      </c>
      <c r="O22" s="14">
        <f t="shared" si="3"/>
        <v>0</v>
      </c>
      <c r="P22" s="16">
        <f t="shared" si="4"/>
        <v>0</v>
      </c>
      <c r="Q22" s="12" t="str">
        <f t="shared" si="5"/>
        <v>BigC Price</v>
      </c>
      <c r="R22" s="12" t="s">
        <v>64</v>
      </c>
      <c r="S22" s="12" t="str">
        <f t="shared" si="6"/>
        <v>Review</v>
      </c>
      <c r="T22" s="12" t="s">
        <v>265</v>
      </c>
      <c r="U22" s="11"/>
      <c r="V22" s="11"/>
      <c r="W22" s="11"/>
      <c r="X22" s="11"/>
      <c r="Y22" s="11"/>
      <c r="Z22" s="11"/>
      <c r="AA22" s="11"/>
    </row>
    <row r="23" ht="15.75" customHeight="1">
      <c r="A23" s="12" t="s">
        <v>76</v>
      </c>
      <c r="B23" s="12" t="s">
        <v>269</v>
      </c>
      <c r="C23" s="12" t="s">
        <v>271</v>
      </c>
      <c r="D23" s="12" t="s">
        <v>273</v>
      </c>
      <c r="E23" s="12">
        <v>180.0</v>
      </c>
      <c r="F23" s="12" t="s">
        <v>82</v>
      </c>
      <c r="G23" s="11"/>
      <c r="H23" s="12" t="s">
        <v>274</v>
      </c>
      <c r="I23" s="18">
        <v>35.0</v>
      </c>
      <c r="J23" s="14"/>
      <c r="K23" s="14"/>
      <c r="L23" s="14"/>
      <c r="M23" s="14" t="str">
        <f t="shared" si="1"/>
        <v/>
      </c>
      <c r="N23" s="14" t="str">
        <f t="shared" si="2"/>
        <v/>
      </c>
      <c r="O23" s="14" t="str">
        <f t="shared" si="3"/>
        <v/>
      </c>
      <c r="P23" s="16" t="str">
        <f t="shared" si="4"/>
        <v/>
      </c>
      <c r="Q23" s="12" t="str">
        <f t="shared" si="5"/>
        <v/>
      </c>
      <c r="R23" s="12" t="s">
        <v>64</v>
      </c>
      <c r="S23" s="12" t="str">
        <f t="shared" si="6"/>
        <v>Review</v>
      </c>
      <c r="T23" s="12" t="s">
        <v>85</v>
      </c>
      <c r="U23" s="11"/>
      <c r="V23" s="11"/>
      <c r="W23" s="11"/>
      <c r="X23" s="11"/>
      <c r="Y23" s="11"/>
      <c r="Z23" s="11"/>
      <c r="AA23" s="11"/>
    </row>
    <row r="24" ht="15.75" customHeight="1">
      <c r="A24" s="12" t="s">
        <v>76</v>
      </c>
      <c r="B24" s="12" t="s">
        <v>269</v>
      </c>
      <c r="C24" s="12" t="s">
        <v>271</v>
      </c>
      <c r="D24" s="12" t="s">
        <v>277</v>
      </c>
      <c r="E24" s="12">
        <v>90.0</v>
      </c>
      <c r="F24" s="12" t="s">
        <v>82</v>
      </c>
      <c r="G24" s="11"/>
      <c r="H24" s="12" t="s">
        <v>278</v>
      </c>
      <c r="I24" s="18">
        <v>19.0</v>
      </c>
      <c r="J24" s="14"/>
      <c r="K24" s="14"/>
      <c r="L24" s="14"/>
      <c r="M24" s="14" t="str">
        <f t="shared" si="1"/>
        <v/>
      </c>
      <c r="N24" s="14" t="str">
        <f t="shared" si="2"/>
        <v/>
      </c>
      <c r="O24" s="14" t="str">
        <f t="shared" si="3"/>
        <v/>
      </c>
      <c r="P24" s="16" t="str">
        <f t="shared" si="4"/>
        <v/>
      </c>
      <c r="Q24" s="12" t="str">
        <f t="shared" si="5"/>
        <v/>
      </c>
      <c r="R24" s="12" t="s">
        <v>64</v>
      </c>
      <c r="S24" s="12" t="str">
        <f t="shared" si="6"/>
        <v>Review</v>
      </c>
      <c r="T24" s="12" t="s">
        <v>85</v>
      </c>
      <c r="U24" s="11"/>
      <c r="V24" s="11"/>
      <c r="W24" s="11"/>
      <c r="X24" s="11"/>
      <c r="Y24" s="11"/>
      <c r="Z24" s="11"/>
      <c r="AA24" s="11"/>
    </row>
    <row r="25" ht="15.75" customHeight="1">
      <c r="A25" s="12" t="s">
        <v>42</v>
      </c>
      <c r="B25" s="12" t="s">
        <v>43</v>
      </c>
      <c r="C25" s="12" t="s">
        <v>285</v>
      </c>
      <c r="D25" s="12" t="s">
        <v>287</v>
      </c>
      <c r="E25" s="12">
        <v>100.0</v>
      </c>
      <c r="F25" s="12" t="s">
        <v>210</v>
      </c>
      <c r="G25" s="11"/>
      <c r="H25" s="12" t="s">
        <v>289</v>
      </c>
      <c r="I25" s="14"/>
      <c r="J25" s="14"/>
      <c r="K25" s="14"/>
      <c r="L25" s="14"/>
      <c r="M25" s="14" t="str">
        <f t="shared" si="1"/>
        <v/>
      </c>
      <c r="N25" s="14" t="str">
        <f t="shared" si="2"/>
        <v/>
      </c>
      <c r="O25" s="14" t="str">
        <f t="shared" si="3"/>
        <v/>
      </c>
      <c r="P25" s="16" t="str">
        <f t="shared" si="4"/>
        <v/>
      </c>
      <c r="Q25" s="12" t="str">
        <f t="shared" si="5"/>
        <v/>
      </c>
      <c r="R25" s="12" t="s">
        <v>64</v>
      </c>
      <c r="S25" s="12" t="str">
        <f t="shared" si="6"/>
        <v>Review</v>
      </c>
      <c r="T25" s="11"/>
      <c r="U25" s="11"/>
      <c r="V25" s="11"/>
      <c r="W25" s="11"/>
      <c r="X25" s="11"/>
      <c r="Y25" s="11"/>
      <c r="Z25" s="11"/>
      <c r="AA25" s="11"/>
    </row>
    <row r="26" ht="15.75" customHeight="1">
      <c r="A26" s="12" t="s">
        <v>42</v>
      </c>
      <c r="B26" s="12" t="s">
        <v>291</v>
      </c>
      <c r="C26" s="12" t="s">
        <v>292</v>
      </c>
      <c r="D26" s="12" t="s">
        <v>293</v>
      </c>
      <c r="E26" s="12">
        <v>25.0</v>
      </c>
      <c r="F26" s="12" t="s">
        <v>51</v>
      </c>
      <c r="G26" s="11"/>
      <c r="H26" s="12" t="s">
        <v>294</v>
      </c>
      <c r="I26" s="14"/>
      <c r="J26" s="14"/>
      <c r="K26" s="14"/>
      <c r="L26" s="14"/>
      <c r="M26" s="14" t="str">
        <f t="shared" si="1"/>
        <v/>
      </c>
      <c r="N26" s="14" t="str">
        <f t="shared" si="2"/>
        <v/>
      </c>
      <c r="O26" s="14" t="str">
        <f t="shared" si="3"/>
        <v/>
      </c>
      <c r="P26" s="16" t="str">
        <f t="shared" si="4"/>
        <v/>
      </c>
      <c r="Q26" s="12" t="str">
        <f t="shared" si="5"/>
        <v/>
      </c>
      <c r="R26" s="12" t="s">
        <v>64</v>
      </c>
      <c r="S26" s="12" t="str">
        <f t="shared" si="6"/>
        <v>Review</v>
      </c>
      <c r="T26" s="11"/>
      <c r="U26" s="11"/>
      <c r="V26" s="11"/>
      <c r="W26" s="11"/>
      <c r="X26" s="11"/>
      <c r="Y26" s="11"/>
      <c r="Z26" s="11"/>
      <c r="AA26" s="11"/>
    </row>
    <row r="27" ht="15.75" customHeight="1">
      <c r="A27" s="12" t="s">
        <v>76</v>
      </c>
      <c r="B27" s="12" t="s">
        <v>140</v>
      </c>
      <c r="C27" s="12" t="s">
        <v>263</v>
      </c>
      <c r="D27" s="12" t="s">
        <v>272</v>
      </c>
      <c r="E27" s="12">
        <v>125.0</v>
      </c>
      <c r="F27" s="12" t="s">
        <v>82</v>
      </c>
      <c r="G27" s="11"/>
      <c r="H27" s="12" t="s">
        <v>270</v>
      </c>
      <c r="I27" s="18">
        <v>45.0</v>
      </c>
      <c r="J27" s="18"/>
      <c r="K27" s="18">
        <v>36.25</v>
      </c>
      <c r="L27" s="14"/>
      <c r="M27" s="14">
        <f t="shared" si="1"/>
        <v>36.25</v>
      </c>
      <c r="N27" s="14">
        <f t="shared" si="2"/>
        <v>36.25</v>
      </c>
      <c r="O27" s="14">
        <f t="shared" si="3"/>
        <v>0</v>
      </c>
      <c r="P27" s="16">
        <f t="shared" si="4"/>
        <v>0</v>
      </c>
      <c r="Q27" s="12" t="str">
        <f t="shared" si="5"/>
        <v>Makro Price</v>
      </c>
      <c r="R27" s="12" t="s">
        <v>64</v>
      </c>
      <c r="S27" s="12" t="str">
        <f t="shared" si="6"/>
        <v>Review</v>
      </c>
      <c r="T27" s="12" t="s">
        <v>173</v>
      </c>
      <c r="U27" s="11"/>
      <c r="V27" s="11"/>
      <c r="W27" s="11"/>
      <c r="X27" s="11"/>
      <c r="Y27" s="11"/>
      <c r="Z27" s="11"/>
      <c r="AA27" s="11"/>
    </row>
    <row r="28" ht="15.75" customHeight="1">
      <c r="A28" s="12" t="s">
        <v>76</v>
      </c>
      <c r="B28" s="12" t="s">
        <v>140</v>
      </c>
      <c r="C28" s="12" t="s">
        <v>263</v>
      </c>
      <c r="D28" s="12" t="s">
        <v>267</v>
      </c>
      <c r="E28" s="12">
        <v>200.0</v>
      </c>
      <c r="F28" s="12" t="s">
        <v>82</v>
      </c>
      <c r="G28" s="11"/>
      <c r="H28" s="12" t="s">
        <v>266</v>
      </c>
      <c r="I28" s="18">
        <v>65.0</v>
      </c>
      <c r="J28" s="14"/>
      <c r="K28" s="14"/>
      <c r="L28" s="18">
        <v>44.0</v>
      </c>
      <c r="M28" s="14">
        <f t="shared" si="1"/>
        <v>44</v>
      </c>
      <c r="N28" s="14">
        <f t="shared" si="2"/>
        <v>44</v>
      </c>
      <c r="O28" s="14">
        <f t="shared" si="3"/>
        <v>0</v>
      </c>
      <c r="P28" s="16">
        <f t="shared" si="4"/>
        <v>0</v>
      </c>
      <c r="Q28" s="12" t="str">
        <f t="shared" si="5"/>
        <v>BigC Price</v>
      </c>
      <c r="R28" s="12" t="s">
        <v>64</v>
      </c>
      <c r="S28" s="12" t="str">
        <f t="shared" si="6"/>
        <v>Review</v>
      </c>
      <c r="T28" s="12" t="s">
        <v>173</v>
      </c>
      <c r="U28" s="11"/>
      <c r="V28" s="11"/>
      <c r="W28" s="11"/>
      <c r="X28" s="11"/>
      <c r="Y28" s="11"/>
      <c r="Z28" s="11"/>
      <c r="AA28" s="11"/>
    </row>
    <row r="29" ht="15.75" customHeight="1">
      <c r="A29" s="12" t="s">
        <v>76</v>
      </c>
      <c r="B29" s="12" t="s">
        <v>140</v>
      </c>
      <c r="C29" s="12" t="s">
        <v>263</v>
      </c>
      <c r="D29" s="12" t="s">
        <v>264</v>
      </c>
      <c r="E29" s="12">
        <v>200.0</v>
      </c>
      <c r="F29" s="12" t="s">
        <v>82</v>
      </c>
      <c r="G29" s="11"/>
      <c r="H29" s="12" t="s">
        <v>262</v>
      </c>
      <c r="I29" s="18">
        <v>70.0</v>
      </c>
      <c r="J29" s="14"/>
      <c r="K29" s="14"/>
      <c r="L29" s="14">
        <f>13.25*4</f>
        <v>53</v>
      </c>
      <c r="M29" s="14">
        <f t="shared" si="1"/>
        <v>53</v>
      </c>
      <c r="N29" s="14">
        <f t="shared" si="2"/>
        <v>53</v>
      </c>
      <c r="O29" s="14">
        <f t="shared" si="3"/>
        <v>0</v>
      </c>
      <c r="P29" s="16">
        <f t="shared" si="4"/>
        <v>0</v>
      </c>
      <c r="Q29" s="12" t="str">
        <f t="shared" si="5"/>
        <v>BigC Price</v>
      </c>
      <c r="R29" s="12" t="s">
        <v>64</v>
      </c>
      <c r="S29" s="12" t="str">
        <f t="shared" si="6"/>
        <v>Review</v>
      </c>
      <c r="T29" s="12" t="s">
        <v>173</v>
      </c>
      <c r="U29" s="11"/>
      <c r="V29" s="11"/>
      <c r="W29" s="11"/>
      <c r="X29" s="11"/>
      <c r="Y29" s="11"/>
      <c r="Z29" s="11"/>
      <c r="AA29" s="11"/>
    </row>
    <row r="30" ht="15.75" customHeight="1">
      <c r="A30" s="12" t="s">
        <v>76</v>
      </c>
      <c r="B30" s="12" t="s">
        <v>140</v>
      </c>
      <c r="C30" s="12" t="s">
        <v>263</v>
      </c>
      <c r="D30" s="12" t="s">
        <v>276</v>
      </c>
      <c r="E30" s="12">
        <v>125.0</v>
      </c>
      <c r="F30" s="12" t="s">
        <v>82</v>
      </c>
      <c r="G30" s="11"/>
      <c r="H30" s="12" t="s">
        <v>275</v>
      </c>
      <c r="I30" s="18">
        <v>45.0</v>
      </c>
      <c r="J30" s="14"/>
      <c r="K30" s="14"/>
      <c r="L30" s="14">
        <f>8*4</f>
        <v>32</v>
      </c>
      <c r="M30" s="14">
        <f t="shared" si="1"/>
        <v>32</v>
      </c>
      <c r="N30" s="14">
        <f t="shared" si="2"/>
        <v>32</v>
      </c>
      <c r="O30" s="14">
        <f t="shared" si="3"/>
        <v>0</v>
      </c>
      <c r="P30" s="16">
        <f t="shared" si="4"/>
        <v>0</v>
      </c>
      <c r="Q30" s="12" t="str">
        <f t="shared" si="5"/>
        <v>BigC Price</v>
      </c>
      <c r="R30" s="12" t="s">
        <v>64</v>
      </c>
      <c r="S30" s="12" t="str">
        <f t="shared" si="6"/>
        <v>Review</v>
      </c>
      <c r="T30" s="12" t="s">
        <v>173</v>
      </c>
      <c r="U30" s="11"/>
      <c r="V30" s="11"/>
      <c r="W30" s="11"/>
      <c r="X30" s="11"/>
      <c r="Y30" s="11"/>
      <c r="Z30" s="11"/>
      <c r="AA30" s="11"/>
    </row>
    <row r="31" ht="15.75" customHeight="1">
      <c r="A31" s="12" t="s">
        <v>42</v>
      </c>
      <c r="B31" s="12" t="s">
        <v>43</v>
      </c>
      <c r="C31" s="12" t="s">
        <v>313</v>
      </c>
      <c r="D31" s="12" t="s">
        <v>314</v>
      </c>
      <c r="E31" s="12">
        <v>20.0</v>
      </c>
      <c r="F31" s="12" t="s">
        <v>51</v>
      </c>
      <c r="G31" s="11"/>
      <c r="H31" s="12" t="s">
        <v>315</v>
      </c>
      <c r="I31" s="14"/>
      <c r="J31" s="14"/>
      <c r="K31" s="14"/>
      <c r="L31" s="14"/>
      <c r="M31" s="14" t="str">
        <f t="shared" si="1"/>
        <v/>
      </c>
      <c r="N31" s="14" t="str">
        <f t="shared" si="2"/>
        <v/>
      </c>
      <c r="O31" s="14" t="str">
        <f t="shared" si="3"/>
        <v/>
      </c>
      <c r="P31" s="16" t="str">
        <f t="shared" si="4"/>
        <v/>
      </c>
      <c r="Q31" s="12" t="str">
        <f t="shared" si="5"/>
        <v/>
      </c>
      <c r="R31" s="12" t="s">
        <v>64</v>
      </c>
      <c r="S31" s="12" t="str">
        <f t="shared" si="6"/>
        <v>Review</v>
      </c>
      <c r="T31" s="11"/>
      <c r="U31" s="11"/>
      <c r="V31" s="11"/>
      <c r="W31" s="11"/>
      <c r="X31" s="11"/>
      <c r="Y31" s="11"/>
      <c r="Z31" s="11"/>
      <c r="AA31" s="11"/>
    </row>
    <row r="32" ht="15.75" customHeight="1">
      <c r="A32" s="12" t="s">
        <v>42</v>
      </c>
      <c r="B32" s="12" t="s">
        <v>320</v>
      </c>
      <c r="C32" s="12" t="s">
        <v>321</v>
      </c>
      <c r="D32" s="12" t="s">
        <v>322</v>
      </c>
      <c r="E32" s="11"/>
      <c r="F32" s="12" t="s">
        <v>324</v>
      </c>
      <c r="G32" s="11"/>
      <c r="H32" s="12" t="s">
        <v>325</v>
      </c>
      <c r="I32" s="14"/>
      <c r="J32" s="14"/>
      <c r="K32" s="14"/>
      <c r="L32" s="14"/>
      <c r="M32" s="14" t="str">
        <f t="shared" si="1"/>
        <v/>
      </c>
      <c r="N32" s="14" t="str">
        <f t="shared" si="2"/>
        <v/>
      </c>
      <c r="O32" s="14" t="str">
        <f t="shared" si="3"/>
        <v/>
      </c>
      <c r="P32" s="16" t="str">
        <f t="shared" si="4"/>
        <v/>
      </c>
      <c r="Q32" s="12" t="str">
        <f t="shared" si="5"/>
        <v/>
      </c>
      <c r="R32" s="12" t="s">
        <v>64</v>
      </c>
      <c r="S32" s="12" t="str">
        <f t="shared" si="6"/>
        <v>Review</v>
      </c>
      <c r="T32" s="11"/>
      <c r="U32" s="11"/>
      <c r="V32" s="11"/>
      <c r="W32" s="11"/>
      <c r="X32" s="11"/>
      <c r="Y32" s="11"/>
      <c r="Z32" s="11"/>
      <c r="AA32" s="11"/>
    </row>
    <row r="33" ht="15.75" customHeight="1">
      <c r="A33" s="12" t="s">
        <v>327</v>
      </c>
      <c r="B33" s="12" t="s">
        <v>328</v>
      </c>
      <c r="C33" s="12" t="s">
        <v>329</v>
      </c>
      <c r="D33" s="12" t="s">
        <v>331</v>
      </c>
      <c r="E33" s="12">
        <v>36.0</v>
      </c>
      <c r="F33" s="12" t="s">
        <v>210</v>
      </c>
      <c r="G33" s="11"/>
      <c r="H33" s="12" t="s">
        <v>332</v>
      </c>
      <c r="I33" s="14"/>
      <c r="J33" s="14"/>
      <c r="K33" s="14"/>
      <c r="L33" s="14"/>
      <c r="M33" s="14" t="str">
        <f t="shared" si="1"/>
        <v/>
      </c>
      <c r="N33" s="14" t="str">
        <f t="shared" si="2"/>
        <v/>
      </c>
      <c r="O33" s="14" t="str">
        <f t="shared" si="3"/>
        <v/>
      </c>
      <c r="P33" s="16" t="str">
        <f t="shared" si="4"/>
        <v/>
      </c>
      <c r="Q33" s="12" t="str">
        <f t="shared" si="5"/>
        <v/>
      </c>
      <c r="R33" s="12" t="s">
        <v>64</v>
      </c>
      <c r="S33" s="12" t="str">
        <f t="shared" si="6"/>
        <v>Review</v>
      </c>
      <c r="T33" s="11"/>
      <c r="U33" s="11"/>
      <c r="V33" s="11"/>
      <c r="W33" s="11"/>
      <c r="X33" s="11"/>
      <c r="Y33" s="11"/>
      <c r="Z33" s="11"/>
      <c r="AA33" s="11"/>
    </row>
    <row r="34" ht="15.75" customHeight="1">
      <c r="A34" s="12" t="s">
        <v>42</v>
      </c>
      <c r="B34" s="12" t="s">
        <v>43</v>
      </c>
      <c r="C34" s="12" t="s">
        <v>335</v>
      </c>
      <c r="D34" s="12" t="s">
        <v>336</v>
      </c>
      <c r="E34" s="11"/>
      <c r="F34" s="12" t="s">
        <v>337</v>
      </c>
      <c r="G34" s="11"/>
      <c r="H34" s="12" t="s">
        <v>339</v>
      </c>
      <c r="I34" s="14"/>
      <c r="J34" s="14"/>
      <c r="K34" s="14"/>
      <c r="L34" s="14"/>
      <c r="M34" s="14" t="str">
        <f t="shared" si="1"/>
        <v/>
      </c>
      <c r="N34" s="14" t="str">
        <f t="shared" si="2"/>
        <v/>
      </c>
      <c r="O34" s="14" t="str">
        <f t="shared" si="3"/>
        <v/>
      </c>
      <c r="P34" s="16" t="str">
        <f t="shared" si="4"/>
        <v/>
      </c>
      <c r="Q34" s="12" t="str">
        <f t="shared" si="5"/>
        <v/>
      </c>
      <c r="R34" s="12" t="s">
        <v>64</v>
      </c>
      <c r="S34" s="12" t="str">
        <f t="shared" si="6"/>
        <v>Review</v>
      </c>
      <c r="T34" s="11"/>
      <c r="U34" s="11"/>
      <c r="V34" s="11"/>
      <c r="W34" s="11"/>
      <c r="X34" s="11"/>
      <c r="Y34" s="11"/>
      <c r="Z34" s="11"/>
      <c r="AA34" s="11"/>
    </row>
    <row r="35" ht="15.75" customHeight="1">
      <c r="A35" s="12" t="s">
        <v>42</v>
      </c>
      <c r="B35" s="12" t="s">
        <v>43</v>
      </c>
      <c r="C35" s="12" t="s">
        <v>335</v>
      </c>
      <c r="D35" s="12" t="s">
        <v>343</v>
      </c>
      <c r="E35" s="11"/>
      <c r="F35" s="12" t="s">
        <v>337</v>
      </c>
      <c r="G35" s="11"/>
      <c r="H35" s="12" t="s">
        <v>344</v>
      </c>
      <c r="I35" s="14"/>
      <c r="J35" s="14"/>
      <c r="K35" s="14"/>
      <c r="L35" s="14"/>
      <c r="M35" s="14" t="str">
        <f t="shared" si="1"/>
        <v/>
      </c>
      <c r="N35" s="14" t="str">
        <f t="shared" si="2"/>
        <v/>
      </c>
      <c r="O35" s="14" t="str">
        <f t="shared" si="3"/>
        <v/>
      </c>
      <c r="P35" s="16" t="str">
        <f t="shared" si="4"/>
        <v/>
      </c>
      <c r="Q35" s="12" t="str">
        <f t="shared" si="5"/>
        <v/>
      </c>
      <c r="R35" s="12" t="s">
        <v>64</v>
      </c>
      <c r="S35" s="12" t="str">
        <f t="shared" si="6"/>
        <v>Review</v>
      </c>
      <c r="T35" s="11"/>
      <c r="U35" s="11"/>
      <c r="V35" s="11"/>
      <c r="W35" s="11"/>
      <c r="X35" s="11"/>
      <c r="Y35" s="11"/>
      <c r="Z35" s="11"/>
      <c r="AA35" s="11"/>
    </row>
    <row r="36" ht="15.75" customHeight="1">
      <c r="A36" s="12" t="s">
        <v>42</v>
      </c>
      <c r="B36" s="12" t="s">
        <v>43</v>
      </c>
      <c r="C36" s="12" t="s">
        <v>335</v>
      </c>
      <c r="D36" s="12" t="s">
        <v>348</v>
      </c>
      <c r="E36" s="12">
        <v>50.0</v>
      </c>
      <c r="F36" s="12" t="s">
        <v>51</v>
      </c>
      <c r="G36" s="11"/>
      <c r="H36" s="12" t="s">
        <v>349</v>
      </c>
      <c r="I36" s="14"/>
      <c r="J36" s="14"/>
      <c r="K36" s="14"/>
      <c r="L36" s="14"/>
      <c r="M36" s="14" t="str">
        <f t="shared" si="1"/>
        <v/>
      </c>
      <c r="N36" s="14" t="str">
        <f t="shared" si="2"/>
        <v/>
      </c>
      <c r="O36" s="14" t="str">
        <f t="shared" si="3"/>
        <v/>
      </c>
      <c r="P36" s="16" t="str">
        <f t="shared" si="4"/>
        <v/>
      </c>
      <c r="Q36" s="12" t="str">
        <f t="shared" si="5"/>
        <v/>
      </c>
      <c r="R36" s="12" t="s">
        <v>64</v>
      </c>
      <c r="S36" s="12" t="str">
        <f t="shared" si="6"/>
        <v>Review</v>
      </c>
      <c r="T36" s="11"/>
      <c r="U36" s="11"/>
      <c r="V36" s="11"/>
      <c r="W36" s="11"/>
      <c r="X36" s="11"/>
      <c r="Y36" s="11"/>
      <c r="Z36" s="11"/>
      <c r="AA36" s="11"/>
    </row>
    <row r="37" ht="15.75" customHeight="1">
      <c r="A37" s="12" t="s">
        <v>76</v>
      </c>
      <c r="B37" s="12" t="s">
        <v>140</v>
      </c>
      <c r="C37" s="12" t="s">
        <v>353</v>
      </c>
      <c r="D37" s="12" t="s">
        <v>354</v>
      </c>
      <c r="E37" s="12">
        <v>180.0</v>
      </c>
      <c r="F37" s="12" t="s">
        <v>82</v>
      </c>
      <c r="G37" s="11"/>
      <c r="H37" s="12" t="s">
        <v>355</v>
      </c>
      <c r="I37" s="18">
        <v>39.0</v>
      </c>
      <c r="J37" s="14"/>
      <c r="K37" s="14"/>
      <c r="L37" s="14"/>
      <c r="M37" s="14" t="str">
        <f t="shared" si="1"/>
        <v/>
      </c>
      <c r="N37" s="14" t="str">
        <f t="shared" si="2"/>
        <v/>
      </c>
      <c r="O37" s="14" t="str">
        <f t="shared" si="3"/>
        <v/>
      </c>
      <c r="P37" s="16" t="str">
        <f t="shared" si="4"/>
        <v/>
      </c>
      <c r="Q37" s="12" t="str">
        <f t="shared" si="5"/>
        <v/>
      </c>
      <c r="R37" s="12" t="s">
        <v>64</v>
      </c>
      <c r="S37" s="12" t="str">
        <f t="shared" si="6"/>
        <v>Review</v>
      </c>
      <c r="T37" s="12" t="s">
        <v>85</v>
      </c>
      <c r="U37" s="11"/>
      <c r="V37" s="11"/>
      <c r="W37" s="11"/>
      <c r="X37" s="11"/>
      <c r="Y37" s="11"/>
      <c r="Z37" s="11"/>
      <c r="AA37" s="11"/>
    </row>
    <row r="38" ht="15.75" customHeight="1">
      <c r="A38" s="12" t="s">
        <v>76</v>
      </c>
      <c r="B38" s="12" t="s">
        <v>140</v>
      </c>
      <c r="C38" s="12" t="s">
        <v>353</v>
      </c>
      <c r="D38" s="12" t="s">
        <v>359</v>
      </c>
      <c r="E38" s="12">
        <v>225.0</v>
      </c>
      <c r="F38" s="12" t="s">
        <v>82</v>
      </c>
      <c r="G38" s="11"/>
      <c r="H38" s="12" t="s">
        <v>361</v>
      </c>
      <c r="I38" s="18">
        <v>70.0</v>
      </c>
      <c r="J38" s="14"/>
      <c r="K38" s="14"/>
      <c r="L38" s="14"/>
      <c r="M38" s="14" t="str">
        <f t="shared" si="1"/>
        <v/>
      </c>
      <c r="N38" s="14" t="str">
        <f t="shared" si="2"/>
        <v/>
      </c>
      <c r="O38" s="14" t="str">
        <f t="shared" si="3"/>
        <v/>
      </c>
      <c r="P38" s="16" t="str">
        <f t="shared" si="4"/>
        <v/>
      </c>
      <c r="Q38" s="12" t="str">
        <f t="shared" si="5"/>
        <v/>
      </c>
      <c r="R38" s="12" t="s">
        <v>64</v>
      </c>
      <c r="S38" s="12" t="str">
        <f t="shared" si="6"/>
        <v>Review</v>
      </c>
      <c r="T38" s="12" t="s">
        <v>363</v>
      </c>
      <c r="U38" s="11"/>
      <c r="V38" s="11"/>
      <c r="W38" s="11"/>
      <c r="X38" s="11"/>
      <c r="Y38" s="11"/>
      <c r="Z38" s="11"/>
      <c r="AA38" s="11"/>
    </row>
    <row r="39" ht="15.75" customHeight="1">
      <c r="A39" s="12" t="s">
        <v>76</v>
      </c>
      <c r="B39" s="12" t="s">
        <v>140</v>
      </c>
      <c r="C39" s="12" t="s">
        <v>353</v>
      </c>
      <c r="D39" s="12" t="s">
        <v>365</v>
      </c>
      <c r="E39" s="12">
        <v>80.0</v>
      </c>
      <c r="F39" s="12" t="s">
        <v>82</v>
      </c>
      <c r="G39" s="11"/>
      <c r="H39" s="12" t="s">
        <v>366</v>
      </c>
      <c r="I39" s="18">
        <v>33.0</v>
      </c>
      <c r="J39" s="14"/>
      <c r="K39" s="14"/>
      <c r="L39" s="14"/>
      <c r="M39" s="14" t="str">
        <f t="shared" si="1"/>
        <v/>
      </c>
      <c r="N39" s="14" t="str">
        <f t="shared" si="2"/>
        <v/>
      </c>
      <c r="O39" s="14" t="str">
        <f t="shared" si="3"/>
        <v/>
      </c>
      <c r="P39" s="16" t="str">
        <f t="shared" si="4"/>
        <v/>
      </c>
      <c r="Q39" s="12" t="str">
        <f t="shared" si="5"/>
        <v/>
      </c>
      <c r="R39" s="12" t="s">
        <v>64</v>
      </c>
      <c r="S39" s="12" t="str">
        <f t="shared" si="6"/>
        <v>Review</v>
      </c>
      <c r="T39" s="12" t="s">
        <v>85</v>
      </c>
      <c r="U39" s="11"/>
      <c r="V39" s="11"/>
      <c r="W39" s="11"/>
      <c r="X39" s="11"/>
      <c r="Y39" s="11"/>
      <c r="Z39" s="11"/>
      <c r="AA39" s="11"/>
    </row>
    <row r="40" ht="15.75" customHeight="1">
      <c r="A40" s="12" t="s">
        <v>76</v>
      </c>
      <c r="B40" s="12" t="s">
        <v>140</v>
      </c>
      <c r="C40" s="12" t="s">
        <v>353</v>
      </c>
      <c r="D40" s="12" t="s">
        <v>369</v>
      </c>
      <c r="E40" s="12">
        <v>180.0</v>
      </c>
      <c r="F40" s="12" t="s">
        <v>82</v>
      </c>
      <c r="G40" s="11"/>
      <c r="H40" s="12" t="s">
        <v>370</v>
      </c>
      <c r="I40" s="18">
        <v>39.0</v>
      </c>
      <c r="J40" s="14"/>
      <c r="K40" s="14"/>
      <c r="L40" s="14"/>
      <c r="M40" s="14" t="str">
        <f t="shared" si="1"/>
        <v/>
      </c>
      <c r="N40" s="14" t="str">
        <f t="shared" si="2"/>
        <v/>
      </c>
      <c r="O40" s="14" t="str">
        <f t="shared" si="3"/>
        <v/>
      </c>
      <c r="P40" s="16" t="str">
        <f t="shared" si="4"/>
        <v/>
      </c>
      <c r="Q40" s="12" t="str">
        <f t="shared" si="5"/>
        <v/>
      </c>
      <c r="R40" s="12" t="s">
        <v>64</v>
      </c>
      <c r="S40" s="12" t="str">
        <f t="shared" si="6"/>
        <v>Review</v>
      </c>
      <c r="T40" s="12" t="s">
        <v>85</v>
      </c>
      <c r="U40" s="11"/>
      <c r="V40" s="11"/>
      <c r="W40" s="11"/>
      <c r="X40" s="11"/>
      <c r="Y40" s="11"/>
      <c r="Z40" s="11"/>
      <c r="AA40" s="11"/>
    </row>
    <row r="41" ht="15.75" customHeight="1">
      <c r="A41" s="12" t="s">
        <v>76</v>
      </c>
      <c r="B41" s="12" t="s">
        <v>140</v>
      </c>
      <c r="C41" s="12" t="s">
        <v>353</v>
      </c>
      <c r="D41" s="12" t="s">
        <v>374</v>
      </c>
      <c r="E41" s="12">
        <v>225.0</v>
      </c>
      <c r="F41" s="12" t="s">
        <v>82</v>
      </c>
      <c r="G41" s="11"/>
      <c r="H41" s="12" t="s">
        <v>375</v>
      </c>
      <c r="I41" s="18">
        <v>70.0</v>
      </c>
      <c r="J41" s="14"/>
      <c r="K41" s="14"/>
      <c r="L41" s="14"/>
      <c r="M41" s="14" t="str">
        <f t="shared" si="1"/>
        <v/>
      </c>
      <c r="N41" s="14" t="str">
        <f t="shared" si="2"/>
        <v/>
      </c>
      <c r="O41" s="14" t="str">
        <f t="shared" si="3"/>
        <v/>
      </c>
      <c r="P41" s="16" t="str">
        <f t="shared" si="4"/>
        <v/>
      </c>
      <c r="Q41" s="12" t="str">
        <f t="shared" si="5"/>
        <v/>
      </c>
      <c r="R41" s="12" t="s">
        <v>64</v>
      </c>
      <c r="S41" s="12" t="str">
        <f t="shared" si="6"/>
        <v>Review</v>
      </c>
      <c r="T41" s="12" t="s">
        <v>363</v>
      </c>
      <c r="U41" s="11"/>
      <c r="V41" s="11"/>
      <c r="W41" s="11"/>
      <c r="X41" s="11"/>
      <c r="Y41" s="11"/>
      <c r="Z41" s="11"/>
      <c r="AA41" s="11"/>
    </row>
    <row r="42" ht="15.75" customHeight="1">
      <c r="A42" s="12" t="s">
        <v>76</v>
      </c>
      <c r="B42" s="12" t="s">
        <v>269</v>
      </c>
      <c r="C42" s="12" t="s">
        <v>238</v>
      </c>
      <c r="D42" s="23" t="s">
        <v>239</v>
      </c>
      <c r="E42" s="12">
        <v>170.0</v>
      </c>
      <c r="F42" s="12" t="s">
        <v>82</v>
      </c>
      <c r="G42" s="11"/>
      <c r="H42" s="12" t="s">
        <v>237</v>
      </c>
      <c r="I42" s="18">
        <v>70.0</v>
      </c>
      <c r="J42" s="18">
        <f>11.25*8</f>
        <v>90</v>
      </c>
      <c r="K42" s="14"/>
      <c r="L42" s="14"/>
      <c r="M42" s="14">
        <f t="shared" si="1"/>
        <v>90</v>
      </c>
      <c r="N42" s="14">
        <f t="shared" si="2"/>
        <v>90</v>
      </c>
      <c r="O42" s="14">
        <f t="shared" si="3"/>
        <v>0</v>
      </c>
      <c r="P42" s="16">
        <f t="shared" si="4"/>
        <v>0</v>
      </c>
      <c r="Q42" s="12" t="str">
        <f t="shared" si="5"/>
        <v>Lotus Price</v>
      </c>
      <c r="R42" s="12" t="s">
        <v>64</v>
      </c>
      <c r="S42" s="12" t="str">
        <f t="shared" si="6"/>
        <v>Review</v>
      </c>
      <c r="T42" s="12" t="s">
        <v>173</v>
      </c>
      <c r="U42" s="11"/>
      <c r="V42" s="11"/>
      <c r="W42" s="11"/>
      <c r="X42" s="11"/>
      <c r="Y42" s="11"/>
      <c r="Z42" s="11"/>
      <c r="AA42" s="11"/>
    </row>
    <row r="43" ht="15.75" customHeight="1">
      <c r="A43" s="12" t="s">
        <v>76</v>
      </c>
      <c r="B43" s="12" t="s">
        <v>269</v>
      </c>
      <c r="C43" s="12" t="s">
        <v>238</v>
      </c>
      <c r="D43" s="12" t="s">
        <v>242</v>
      </c>
      <c r="E43" s="12">
        <v>115.0</v>
      </c>
      <c r="F43" s="12" t="s">
        <v>82</v>
      </c>
      <c r="G43" s="11"/>
      <c r="H43" s="12" t="s">
        <v>241</v>
      </c>
      <c r="I43" s="18">
        <v>33.0</v>
      </c>
      <c r="J43" s="14"/>
      <c r="K43" s="14"/>
      <c r="L43" s="18">
        <v>32.0</v>
      </c>
      <c r="M43" s="14">
        <f t="shared" si="1"/>
        <v>32</v>
      </c>
      <c r="N43" s="14">
        <f t="shared" si="2"/>
        <v>32</v>
      </c>
      <c r="O43" s="14">
        <f t="shared" si="3"/>
        <v>0</v>
      </c>
      <c r="P43" s="16">
        <f t="shared" si="4"/>
        <v>0</v>
      </c>
      <c r="Q43" s="12" t="str">
        <f t="shared" si="5"/>
        <v>BigC Price</v>
      </c>
      <c r="R43" s="12" t="s">
        <v>64</v>
      </c>
      <c r="S43" s="12" t="str">
        <f t="shared" si="6"/>
        <v>Review</v>
      </c>
      <c r="T43" s="12" t="s">
        <v>158</v>
      </c>
      <c r="U43" s="11"/>
      <c r="V43" s="11"/>
      <c r="W43" s="11"/>
      <c r="X43" s="11"/>
      <c r="Y43" s="11"/>
      <c r="Z43" s="11"/>
      <c r="AA43" s="11"/>
    </row>
    <row r="44" ht="15.75" customHeight="1">
      <c r="A44" s="12" t="s">
        <v>382</v>
      </c>
      <c r="B44" s="12" t="s">
        <v>383</v>
      </c>
      <c r="C44" s="24" t="s">
        <v>197</v>
      </c>
      <c r="D44" s="25" t="s">
        <v>198</v>
      </c>
      <c r="E44" s="12">
        <v>17.0</v>
      </c>
      <c r="F44" s="12" t="s">
        <v>385</v>
      </c>
      <c r="G44" s="11"/>
      <c r="H44" s="12" t="s">
        <v>196</v>
      </c>
      <c r="I44" s="18">
        <v>50.0</v>
      </c>
      <c r="J44" s="14"/>
      <c r="K44" s="18">
        <v>51.0</v>
      </c>
      <c r="L44" s="14"/>
      <c r="M44" s="14">
        <f t="shared" si="1"/>
        <v>51</v>
      </c>
      <c r="N44" s="14">
        <f t="shared" si="2"/>
        <v>51</v>
      </c>
      <c r="O44" s="14">
        <f t="shared" si="3"/>
        <v>0</v>
      </c>
      <c r="P44" s="16">
        <f t="shared" si="4"/>
        <v>0</v>
      </c>
      <c r="Q44" s="12" t="str">
        <f t="shared" si="5"/>
        <v>Makro Price</v>
      </c>
      <c r="R44" s="12" t="s">
        <v>64</v>
      </c>
      <c r="S44" s="12" t="str">
        <f t="shared" si="6"/>
        <v>Review</v>
      </c>
      <c r="T44" s="12" t="s">
        <v>387</v>
      </c>
      <c r="U44" s="11"/>
      <c r="V44" s="11"/>
      <c r="W44" s="11"/>
      <c r="X44" s="11"/>
      <c r="Y44" s="11"/>
      <c r="Z44" s="11"/>
      <c r="AA44" s="11"/>
    </row>
    <row r="45" ht="15.75" customHeight="1">
      <c r="A45" s="12" t="s">
        <v>382</v>
      </c>
      <c r="B45" s="12" t="s">
        <v>383</v>
      </c>
      <c r="C45" s="12" t="s">
        <v>197</v>
      </c>
      <c r="D45" s="26" t="s">
        <v>214</v>
      </c>
      <c r="E45" s="12">
        <v>17.0</v>
      </c>
      <c r="F45" s="12" t="s">
        <v>385</v>
      </c>
      <c r="G45" s="11"/>
      <c r="H45" s="12" t="s">
        <v>213</v>
      </c>
      <c r="I45" s="18">
        <v>50.0</v>
      </c>
      <c r="J45" s="14"/>
      <c r="K45" s="14"/>
      <c r="L45" s="14"/>
      <c r="M45" s="14" t="str">
        <f t="shared" si="1"/>
        <v/>
      </c>
      <c r="N45" s="14" t="str">
        <f t="shared" si="2"/>
        <v/>
      </c>
      <c r="O45" s="14" t="str">
        <f t="shared" si="3"/>
        <v/>
      </c>
      <c r="P45" s="16" t="str">
        <f t="shared" si="4"/>
        <v/>
      </c>
      <c r="Q45" s="12" t="str">
        <f t="shared" si="5"/>
        <v/>
      </c>
      <c r="R45" s="12" t="s">
        <v>64</v>
      </c>
      <c r="S45" s="12" t="str">
        <f t="shared" si="6"/>
        <v>Review</v>
      </c>
      <c r="T45" s="12" t="s">
        <v>173</v>
      </c>
      <c r="U45" s="11"/>
      <c r="V45" s="11"/>
      <c r="W45" s="11"/>
      <c r="X45" s="11"/>
      <c r="Y45" s="11"/>
      <c r="Z45" s="11"/>
      <c r="AA45" s="11"/>
    </row>
    <row r="46" ht="15.75" customHeight="1">
      <c r="A46" s="12" t="s">
        <v>382</v>
      </c>
      <c r="B46" s="12" t="s">
        <v>383</v>
      </c>
      <c r="C46" s="12" t="s">
        <v>197</v>
      </c>
      <c r="D46" s="27" t="s">
        <v>218</v>
      </c>
      <c r="E46" s="12">
        <v>17.0</v>
      </c>
      <c r="F46" s="12" t="s">
        <v>385</v>
      </c>
      <c r="G46" s="11"/>
      <c r="H46" s="12" t="s">
        <v>217</v>
      </c>
      <c r="I46" s="18">
        <v>50.0</v>
      </c>
      <c r="J46" s="14"/>
      <c r="K46" s="18"/>
      <c r="L46" s="14"/>
      <c r="M46" s="14" t="str">
        <f t="shared" si="1"/>
        <v/>
      </c>
      <c r="N46" s="14" t="str">
        <f t="shared" si="2"/>
        <v/>
      </c>
      <c r="O46" s="14" t="str">
        <f t="shared" si="3"/>
        <v/>
      </c>
      <c r="P46" s="16" t="str">
        <f t="shared" si="4"/>
        <v/>
      </c>
      <c r="Q46" s="12" t="str">
        <f t="shared" si="5"/>
        <v/>
      </c>
      <c r="R46" s="12" t="s">
        <v>64</v>
      </c>
      <c r="S46" s="12" t="str">
        <f t="shared" si="6"/>
        <v>Review</v>
      </c>
      <c r="T46" s="12" t="s">
        <v>173</v>
      </c>
      <c r="U46" s="11"/>
      <c r="V46" s="11"/>
      <c r="W46" s="11"/>
      <c r="X46" s="11"/>
      <c r="Y46" s="11"/>
      <c r="Z46" s="11"/>
      <c r="AA46" s="11"/>
    </row>
    <row r="47" ht="15.75" customHeight="1">
      <c r="A47" s="12" t="s">
        <v>382</v>
      </c>
      <c r="B47" s="12" t="s">
        <v>383</v>
      </c>
      <c r="C47" s="12" t="s">
        <v>197</v>
      </c>
      <c r="D47" s="27" t="s">
        <v>216</v>
      </c>
      <c r="E47" s="12">
        <v>17.0</v>
      </c>
      <c r="F47" s="12" t="s">
        <v>385</v>
      </c>
      <c r="G47" s="11"/>
      <c r="H47" s="12" t="s">
        <v>215</v>
      </c>
      <c r="I47" s="18">
        <v>50.0</v>
      </c>
      <c r="J47" s="14"/>
      <c r="K47" s="18">
        <v>51.0</v>
      </c>
      <c r="L47" s="18">
        <v>42.0</v>
      </c>
      <c r="M47" s="14">
        <f t="shared" si="1"/>
        <v>42</v>
      </c>
      <c r="N47" s="14">
        <f t="shared" si="2"/>
        <v>51</v>
      </c>
      <c r="O47" s="14">
        <f t="shared" si="3"/>
        <v>9</v>
      </c>
      <c r="P47" s="16">
        <f t="shared" si="4"/>
        <v>0.2142857143</v>
      </c>
      <c r="Q47" s="12" t="str">
        <f t="shared" si="5"/>
        <v>BigC Price</v>
      </c>
      <c r="R47" s="12" t="s">
        <v>64</v>
      </c>
      <c r="S47" s="12" t="str">
        <f t="shared" si="6"/>
        <v>Review</v>
      </c>
      <c r="T47" s="12" t="s">
        <v>397</v>
      </c>
      <c r="U47" s="11"/>
      <c r="V47" s="11"/>
      <c r="W47" s="11"/>
      <c r="X47" s="11"/>
      <c r="Y47" s="11"/>
      <c r="Z47" s="11"/>
      <c r="AA47" s="11"/>
    </row>
    <row r="48" ht="15.75" customHeight="1">
      <c r="A48" s="12" t="s">
        <v>382</v>
      </c>
      <c r="B48" s="12" t="s">
        <v>383</v>
      </c>
      <c r="C48" s="12" t="s">
        <v>197</v>
      </c>
      <c r="D48" s="27" t="s">
        <v>226</v>
      </c>
      <c r="E48" s="12">
        <v>18.0</v>
      </c>
      <c r="F48" s="12" t="s">
        <v>385</v>
      </c>
      <c r="G48" s="11"/>
      <c r="H48" s="12" t="s">
        <v>225</v>
      </c>
      <c r="I48" s="18">
        <v>50.0</v>
      </c>
      <c r="J48" s="14"/>
      <c r="K48" s="18">
        <v>48.0</v>
      </c>
      <c r="L48" s="14"/>
      <c r="M48" s="14">
        <f t="shared" si="1"/>
        <v>48</v>
      </c>
      <c r="N48" s="14">
        <f t="shared" si="2"/>
        <v>48</v>
      </c>
      <c r="O48" s="14">
        <f t="shared" si="3"/>
        <v>0</v>
      </c>
      <c r="P48" s="16">
        <f t="shared" si="4"/>
        <v>0</v>
      </c>
      <c r="Q48" s="12" t="str">
        <f t="shared" si="5"/>
        <v>Makro Price</v>
      </c>
      <c r="R48" s="12" t="s">
        <v>64</v>
      </c>
      <c r="S48" s="12" t="str">
        <f t="shared" si="6"/>
        <v>Review</v>
      </c>
      <c r="T48" s="12" t="s">
        <v>387</v>
      </c>
      <c r="U48" s="11"/>
      <c r="V48" s="11"/>
      <c r="W48" s="11"/>
      <c r="X48" s="11"/>
      <c r="Y48" s="11"/>
      <c r="Z48" s="11"/>
      <c r="AA48" s="11"/>
    </row>
    <row r="49" ht="15.75" customHeight="1">
      <c r="A49" s="12" t="s">
        <v>382</v>
      </c>
      <c r="B49" s="12" t="s">
        <v>383</v>
      </c>
      <c r="C49" s="12" t="s">
        <v>197</v>
      </c>
      <c r="D49" s="28" t="s">
        <v>229</v>
      </c>
      <c r="E49" s="12">
        <v>17.0</v>
      </c>
      <c r="F49" s="12" t="s">
        <v>385</v>
      </c>
      <c r="G49" s="11"/>
      <c r="H49" s="12" t="s">
        <v>228</v>
      </c>
      <c r="I49" s="18">
        <v>50.0</v>
      </c>
      <c r="J49" s="14"/>
      <c r="K49" s="18">
        <v>51.0</v>
      </c>
      <c r="L49" s="18">
        <v>40.0</v>
      </c>
      <c r="M49" s="14">
        <f t="shared" si="1"/>
        <v>40</v>
      </c>
      <c r="N49" s="14">
        <f t="shared" si="2"/>
        <v>51</v>
      </c>
      <c r="O49" s="14">
        <f t="shared" si="3"/>
        <v>11</v>
      </c>
      <c r="P49" s="16">
        <f t="shared" si="4"/>
        <v>0.275</v>
      </c>
      <c r="Q49" s="12" t="str">
        <f t="shared" si="5"/>
        <v>BigC Price</v>
      </c>
      <c r="R49" s="12" t="s">
        <v>64</v>
      </c>
      <c r="S49" s="12" t="str">
        <f t="shared" si="6"/>
        <v>Review</v>
      </c>
      <c r="T49" s="12" t="s">
        <v>397</v>
      </c>
      <c r="U49" s="11"/>
      <c r="V49" s="11"/>
      <c r="W49" s="11"/>
      <c r="X49" s="11"/>
      <c r="Y49" s="11"/>
      <c r="Z49" s="11"/>
      <c r="AA49" s="11"/>
    </row>
    <row r="50" ht="15.75" customHeight="1">
      <c r="A50" s="12" t="s">
        <v>382</v>
      </c>
      <c r="B50" s="12" t="s">
        <v>383</v>
      </c>
      <c r="C50" s="12" t="s">
        <v>197</v>
      </c>
      <c r="D50" s="27" t="s">
        <v>211</v>
      </c>
      <c r="E50" s="12">
        <v>17.0</v>
      </c>
      <c r="F50" s="12" t="s">
        <v>385</v>
      </c>
      <c r="G50" s="11"/>
      <c r="H50" s="12" t="s">
        <v>209</v>
      </c>
      <c r="I50" s="18">
        <v>50.0</v>
      </c>
      <c r="J50" s="14"/>
      <c r="K50" s="18">
        <v>51.0</v>
      </c>
      <c r="L50" s="14"/>
      <c r="M50" s="14">
        <f t="shared" si="1"/>
        <v>51</v>
      </c>
      <c r="N50" s="14">
        <f t="shared" si="2"/>
        <v>51</v>
      </c>
      <c r="O50" s="14">
        <f t="shared" si="3"/>
        <v>0</v>
      </c>
      <c r="P50" s="16">
        <f t="shared" si="4"/>
        <v>0</v>
      </c>
      <c r="Q50" s="12" t="str">
        <f t="shared" si="5"/>
        <v>Makro Price</v>
      </c>
      <c r="R50" s="12" t="s">
        <v>64</v>
      </c>
      <c r="S50" s="12" t="str">
        <f t="shared" si="6"/>
        <v>Review</v>
      </c>
      <c r="T50" s="12" t="s">
        <v>387</v>
      </c>
      <c r="U50" s="11"/>
      <c r="V50" s="11"/>
      <c r="W50" s="11"/>
      <c r="X50" s="11"/>
      <c r="Y50" s="11"/>
      <c r="Z50" s="11"/>
      <c r="AA50" s="11"/>
    </row>
    <row r="51" ht="15.75" customHeight="1">
      <c r="A51" s="12" t="s">
        <v>382</v>
      </c>
      <c r="B51" s="12" t="s">
        <v>383</v>
      </c>
      <c r="C51" s="24" t="s">
        <v>197</v>
      </c>
      <c r="D51" s="25" t="s">
        <v>205</v>
      </c>
      <c r="E51" s="12">
        <v>17.0</v>
      </c>
      <c r="F51" s="12" t="s">
        <v>385</v>
      </c>
      <c r="G51" s="11"/>
      <c r="H51" s="12" t="s">
        <v>204</v>
      </c>
      <c r="I51" s="18">
        <v>50.0</v>
      </c>
      <c r="J51" s="14"/>
      <c r="K51" s="18"/>
      <c r="L51" s="14"/>
      <c r="M51" s="14" t="str">
        <f t="shared" si="1"/>
        <v/>
      </c>
      <c r="N51" s="14" t="str">
        <f t="shared" si="2"/>
        <v/>
      </c>
      <c r="O51" s="14" t="str">
        <f t="shared" si="3"/>
        <v/>
      </c>
      <c r="P51" s="16" t="str">
        <f t="shared" si="4"/>
        <v/>
      </c>
      <c r="Q51" s="12" t="str">
        <f t="shared" si="5"/>
        <v/>
      </c>
      <c r="R51" s="12" t="s">
        <v>64</v>
      </c>
      <c r="S51" s="12" t="str">
        <f t="shared" si="6"/>
        <v>Review</v>
      </c>
      <c r="T51" s="12" t="s">
        <v>173</v>
      </c>
      <c r="U51" s="11"/>
      <c r="V51" s="11"/>
      <c r="W51" s="11"/>
      <c r="X51" s="11"/>
      <c r="Y51" s="11"/>
      <c r="Z51" s="11"/>
      <c r="AA51" s="11"/>
    </row>
    <row r="52" ht="15.75" customHeight="1">
      <c r="A52" s="12" t="s">
        <v>382</v>
      </c>
      <c r="B52" s="12" t="s">
        <v>383</v>
      </c>
      <c r="C52" s="12" t="s">
        <v>197</v>
      </c>
      <c r="D52" s="27" t="s">
        <v>222</v>
      </c>
      <c r="E52" s="12">
        <v>17.0</v>
      </c>
      <c r="F52" s="12" t="s">
        <v>385</v>
      </c>
      <c r="G52" s="11"/>
      <c r="H52" s="12" t="s">
        <v>220</v>
      </c>
      <c r="I52" s="18">
        <v>50.0</v>
      </c>
      <c r="J52" s="14"/>
      <c r="K52" s="18">
        <v>51.0</v>
      </c>
      <c r="L52" s="18"/>
      <c r="M52" s="14">
        <f t="shared" si="1"/>
        <v>51</v>
      </c>
      <c r="N52" s="14">
        <f t="shared" si="2"/>
        <v>51</v>
      </c>
      <c r="O52" s="14">
        <f t="shared" si="3"/>
        <v>0</v>
      </c>
      <c r="P52" s="16">
        <f t="shared" si="4"/>
        <v>0</v>
      </c>
      <c r="Q52" s="12" t="str">
        <f t="shared" si="5"/>
        <v>Makro Price</v>
      </c>
      <c r="R52" s="12" t="s">
        <v>64</v>
      </c>
      <c r="S52" s="12" t="str">
        <f t="shared" si="6"/>
        <v>Review</v>
      </c>
      <c r="T52" s="12" t="s">
        <v>409</v>
      </c>
      <c r="U52" s="11"/>
      <c r="V52" s="11"/>
      <c r="W52" s="11"/>
      <c r="X52" s="11"/>
      <c r="Y52" s="11"/>
      <c r="Z52" s="11"/>
      <c r="AA52" s="11"/>
    </row>
    <row r="53" ht="15.75" customHeight="1">
      <c r="A53" s="12" t="s">
        <v>76</v>
      </c>
      <c r="B53" s="12" t="s">
        <v>219</v>
      </c>
      <c r="C53" s="12" t="s">
        <v>405</v>
      </c>
      <c r="D53" s="19" t="s">
        <v>412</v>
      </c>
      <c r="E53" s="12">
        <v>125.0</v>
      </c>
      <c r="F53" s="12" t="s">
        <v>82</v>
      </c>
      <c r="G53" s="11"/>
      <c r="H53" s="12" t="s">
        <v>415</v>
      </c>
      <c r="I53" s="18">
        <v>33.0</v>
      </c>
      <c r="J53" s="14"/>
      <c r="K53" s="14"/>
      <c r="L53" s="14"/>
      <c r="M53" s="14" t="str">
        <f t="shared" si="1"/>
        <v/>
      </c>
      <c r="N53" s="14" t="str">
        <f t="shared" si="2"/>
        <v/>
      </c>
      <c r="O53" s="14" t="str">
        <f t="shared" si="3"/>
        <v/>
      </c>
      <c r="P53" s="16" t="str">
        <f t="shared" si="4"/>
        <v/>
      </c>
      <c r="Q53" s="12" t="str">
        <f t="shared" si="5"/>
        <v/>
      </c>
      <c r="R53" s="12" t="s">
        <v>64</v>
      </c>
      <c r="S53" s="12" t="str">
        <f t="shared" si="6"/>
        <v>Review</v>
      </c>
      <c r="T53" s="12" t="s">
        <v>85</v>
      </c>
      <c r="U53" s="11"/>
      <c r="V53" s="11"/>
      <c r="W53" s="11"/>
      <c r="X53" s="11"/>
      <c r="Y53" s="11"/>
      <c r="Z53" s="11"/>
      <c r="AA53" s="11"/>
    </row>
    <row r="54" ht="15.75" customHeight="1">
      <c r="A54" s="12" t="s">
        <v>76</v>
      </c>
      <c r="B54" s="12" t="s">
        <v>219</v>
      </c>
      <c r="C54" s="12" t="s">
        <v>405</v>
      </c>
      <c r="D54" s="12" t="s">
        <v>406</v>
      </c>
      <c r="E54" s="12">
        <v>300.0</v>
      </c>
      <c r="F54" s="12" t="s">
        <v>82</v>
      </c>
      <c r="G54" s="11"/>
      <c r="H54" s="12" t="s">
        <v>404</v>
      </c>
      <c r="I54" s="18">
        <v>60.0</v>
      </c>
      <c r="J54" s="14"/>
      <c r="K54" s="14"/>
      <c r="L54" s="14"/>
      <c r="M54" s="14" t="str">
        <f t="shared" si="1"/>
        <v/>
      </c>
      <c r="N54" s="14" t="str">
        <f t="shared" si="2"/>
        <v/>
      </c>
      <c r="O54" s="14" t="str">
        <f t="shared" si="3"/>
        <v/>
      </c>
      <c r="P54" s="16" t="str">
        <f t="shared" si="4"/>
        <v/>
      </c>
      <c r="Q54" s="12" t="str">
        <f t="shared" si="5"/>
        <v/>
      </c>
      <c r="R54" s="12" t="s">
        <v>64</v>
      </c>
      <c r="S54" s="12" t="str">
        <f t="shared" si="6"/>
        <v>Review</v>
      </c>
      <c r="T54" s="12" t="s">
        <v>85</v>
      </c>
      <c r="U54" s="11"/>
      <c r="V54" s="11"/>
      <c r="W54" s="11"/>
      <c r="X54" s="11"/>
      <c r="Y54" s="11"/>
      <c r="Z54" s="11"/>
      <c r="AA54" s="11"/>
    </row>
    <row r="55" ht="15.75" customHeight="1">
      <c r="A55" s="12" t="s">
        <v>76</v>
      </c>
      <c r="B55" s="12" t="s">
        <v>219</v>
      </c>
      <c r="C55" s="12" t="s">
        <v>405</v>
      </c>
      <c r="D55" s="12" t="s">
        <v>408</v>
      </c>
      <c r="E55" s="12">
        <v>300.0</v>
      </c>
      <c r="F55" s="12" t="s">
        <v>82</v>
      </c>
      <c r="G55" s="11"/>
      <c r="H55" s="12" t="s">
        <v>407</v>
      </c>
      <c r="I55" s="18">
        <v>60.0</v>
      </c>
      <c r="J55" s="14"/>
      <c r="K55" s="14"/>
      <c r="L55" s="14"/>
      <c r="M55" s="14" t="str">
        <f t="shared" si="1"/>
        <v/>
      </c>
      <c r="N55" s="14" t="str">
        <f t="shared" si="2"/>
        <v/>
      </c>
      <c r="O55" s="14" t="str">
        <f t="shared" si="3"/>
        <v/>
      </c>
      <c r="P55" s="16" t="str">
        <f t="shared" si="4"/>
        <v/>
      </c>
      <c r="Q55" s="12" t="str">
        <f t="shared" si="5"/>
        <v/>
      </c>
      <c r="R55" s="12" t="s">
        <v>64</v>
      </c>
      <c r="S55" s="12" t="str">
        <f t="shared" si="6"/>
        <v>Review</v>
      </c>
      <c r="T55" s="12" t="s">
        <v>85</v>
      </c>
      <c r="U55" s="11"/>
      <c r="V55" s="11"/>
      <c r="W55" s="11"/>
      <c r="X55" s="11"/>
      <c r="Y55" s="11"/>
      <c r="Z55" s="11"/>
      <c r="AA55" s="11"/>
    </row>
    <row r="56" ht="15.75" customHeight="1">
      <c r="A56" s="12" t="s">
        <v>76</v>
      </c>
      <c r="B56" s="12" t="s">
        <v>219</v>
      </c>
      <c r="C56" s="12" t="s">
        <v>405</v>
      </c>
      <c r="D56" s="17" t="s">
        <v>421</v>
      </c>
      <c r="E56" s="12">
        <v>125.0</v>
      </c>
      <c r="F56" s="12" t="s">
        <v>82</v>
      </c>
      <c r="G56" s="11"/>
      <c r="H56" s="12" t="s">
        <v>420</v>
      </c>
      <c r="I56" s="18">
        <v>33.0</v>
      </c>
      <c r="J56" s="14"/>
      <c r="K56" s="14"/>
      <c r="L56" s="14"/>
      <c r="M56" s="14" t="str">
        <f t="shared" si="1"/>
        <v/>
      </c>
      <c r="N56" s="14" t="str">
        <f t="shared" si="2"/>
        <v/>
      </c>
      <c r="O56" s="14" t="str">
        <f t="shared" si="3"/>
        <v/>
      </c>
      <c r="P56" s="16" t="str">
        <f t="shared" si="4"/>
        <v/>
      </c>
      <c r="Q56" s="12" t="str">
        <f t="shared" si="5"/>
        <v/>
      </c>
      <c r="R56" s="12" t="s">
        <v>64</v>
      </c>
      <c r="S56" s="12" t="str">
        <f t="shared" si="6"/>
        <v>Review</v>
      </c>
      <c r="T56" s="12" t="s">
        <v>85</v>
      </c>
      <c r="U56" s="11"/>
      <c r="V56" s="11"/>
      <c r="W56" s="11"/>
      <c r="X56" s="11"/>
      <c r="Y56" s="11"/>
      <c r="Z56" s="11"/>
      <c r="AA56" s="11"/>
    </row>
    <row r="57" ht="15.75" customHeight="1">
      <c r="A57" s="12" t="s">
        <v>76</v>
      </c>
      <c r="B57" s="12" t="s">
        <v>219</v>
      </c>
      <c r="C57" s="12" t="s">
        <v>405</v>
      </c>
      <c r="D57" s="19" t="s">
        <v>417</v>
      </c>
      <c r="E57" s="12">
        <v>250.0</v>
      </c>
      <c r="F57" s="12" t="s">
        <v>82</v>
      </c>
      <c r="G57" s="11"/>
      <c r="H57" s="12" t="s">
        <v>416</v>
      </c>
      <c r="I57" s="18">
        <v>60.0</v>
      </c>
      <c r="J57" s="14"/>
      <c r="K57" s="14"/>
      <c r="L57" s="14"/>
      <c r="M57" s="14" t="str">
        <f t="shared" si="1"/>
        <v/>
      </c>
      <c r="N57" s="14" t="str">
        <f t="shared" si="2"/>
        <v/>
      </c>
      <c r="O57" s="14" t="str">
        <f t="shared" si="3"/>
        <v/>
      </c>
      <c r="P57" s="16" t="str">
        <f t="shared" si="4"/>
        <v/>
      </c>
      <c r="Q57" s="12" t="str">
        <f t="shared" si="5"/>
        <v/>
      </c>
      <c r="R57" s="12" t="s">
        <v>64</v>
      </c>
      <c r="S57" s="12" t="str">
        <f t="shared" si="6"/>
        <v>Review</v>
      </c>
      <c r="T57" s="12" t="s">
        <v>85</v>
      </c>
      <c r="U57" s="11"/>
      <c r="V57" s="11"/>
      <c r="W57" s="11"/>
      <c r="X57" s="11"/>
      <c r="Y57" s="11"/>
      <c r="Z57" s="11"/>
      <c r="AA57" s="11"/>
    </row>
    <row r="58" ht="15.75" customHeight="1">
      <c r="A58" s="12" t="s">
        <v>76</v>
      </c>
      <c r="B58" s="12" t="s">
        <v>219</v>
      </c>
      <c r="C58" s="12" t="s">
        <v>405</v>
      </c>
      <c r="D58" s="17" t="s">
        <v>419</v>
      </c>
      <c r="E58" s="12">
        <v>125.0</v>
      </c>
      <c r="F58" s="12" t="s">
        <v>82</v>
      </c>
      <c r="G58" s="11"/>
      <c r="H58" s="12" t="s">
        <v>418</v>
      </c>
      <c r="I58" s="18">
        <v>33.0</v>
      </c>
      <c r="J58" s="14"/>
      <c r="K58" s="14"/>
      <c r="L58" s="14"/>
      <c r="M58" s="14" t="str">
        <f t="shared" si="1"/>
        <v/>
      </c>
      <c r="N58" s="14" t="str">
        <f t="shared" si="2"/>
        <v/>
      </c>
      <c r="O58" s="14" t="str">
        <f t="shared" si="3"/>
        <v/>
      </c>
      <c r="P58" s="16" t="str">
        <f t="shared" si="4"/>
        <v/>
      </c>
      <c r="Q58" s="12" t="str">
        <f t="shared" si="5"/>
        <v/>
      </c>
      <c r="R58" s="12" t="s">
        <v>64</v>
      </c>
      <c r="S58" s="12" t="str">
        <f t="shared" si="6"/>
        <v>Review</v>
      </c>
      <c r="T58" s="12" t="s">
        <v>85</v>
      </c>
      <c r="U58" s="11"/>
      <c r="V58" s="11"/>
      <c r="W58" s="11"/>
      <c r="X58" s="11"/>
      <c r="Y58" s="11"/>
      <c r="Z58" s="11"/>
      <c r="AA58" s="11"/>
    </row>
    <row r="59" ht="15.75" customHeight="1">
      <c r="A59" s="12" t="s">
        <v>76</v>
      </c>
      <c r="B59" s="12" t="s">
        <v>219</v>
      </c>
      <c r="C59" s="12" t="s">
        <v>405</v>
      </c>
      <c r="D59" s="12" t="s">
        <v>411</v>
      </c>
      <c r="E59" s="12">
        <v>300.0</v>
      </c>
      <c r="F59" s="12" t="s">
        <v>82</v>
      </c>
      <c r="G59" s="11"/>
      <c r="H59" s="12" t="s">
        <v>410</v>
      </c>
      <c r="I59" s="18">
        <v>60.0</v>
      </c>
      <c r="J59" s="14"/>
      <c r="K59" s="14"/>
      <c r="L59" s="14"/>
      <c r="M59" s="14" t="str">
        <f t="shared" si="1"/>
        <v/>
      </c>
      <c r="N59" s="14" t="str">
        <f t="shared" si="2"/>
        <v/>
      </c>
      <c r="O59" s="14" t="str">
        <f t="shared" si="3"/>
        <v/>
      </c>
      <c r="P59" s="16" t="str">
        <f t="shared" si="4"/>
        <v/>
      </c>
      <c r="Q59" s="12" t="str">
        <f t="shared" si="5"/>
        <v/>
      </c>
      <c r="R59" s="12" t="s">
        <v>64</v>
      </c>
      <c r="S59" s="12" t="str">
        <f t="shared" si="6"/>
        <v>Review</v>
      </c>
      <c r="T59" s="12" t="s">
        <v>85</v>
      </c>
      <c r="U59" s="11"/>
      <c r="V59" s="11"/>
      <c r="W59" s="11"/>
      <c r="X59" s="11"/>
      <c r="Y59" s="11"/>
      <c r="Z59" s="11"/>
      <c r="AA59" s="11"/>
    </row>
    <row r="60" ht="15.75" customHeight="1">
      <c r="A60" s="12" t="s">
        <v>76</v>
      </c>
      <c r="B60" s="12" t="s">
        <v>219</v>
      </c>
      <c r="C60" s="12" t="s">
        <v>405</v>
      </c>
      <c r="D60" s="12" t="s">
        <v>414</v>
      </c>
      <c r="E60" s="12">
        <v>250.0</v>
      </c>
      <c r="F60" s="12" t="s">
        <v>82</v>
      </c>
      <c r="G60" s="11"/>
      <c r="H60" s="12" t="s">
        <v>413</v>
      </c>
      <c r="I60" s="18">
        <v>60.0</v>
      </c>
      <c r="J60" s="14"/>
      <c r="K60" s="14"/>
      <c r="L60" s="14"/>
      <c r="M60" s="14" t="str">
        <f t="shared" si="1"/>
        <v/>
      </c>
      <c r="N60" s="14" t="str">
        <f t="shared" si="2"/>
        <v/>
      </c>
      <c r="O60" s="14" t="str">
        <f t="shared" si="3"/>
        <v/>
      </c>
      <c r="P60" s="16" t="str">
        <f t="shared" si="4"/>
        <v/>
      </c>
      <c r="Q60" s="12" t="str">
        <f t="shared" si="5"/>
        <v/>
      </c>
      <c r="R60" s="12" t="s">
        <v>64</v>
      </c>
      <c r="S60" s="12" t="str">
        <f t="shared" si="6"/>
        <v>Review</v>
      </c>
      <c r="T60" s="12" t="s">
        <v>85</v>
      </c>
      <c r="U60" s="11"/>
      <c r="V60" s="11"/>
      <c r="W60" s="11"/>
      <c r="X60" s="11"/>
      <c r="Y60" s="11"/>
      <c r="Z60" s="11"/>
      <c r="AA60" s="11"/>
    </row>
    <row r="61" ht="15.75" customHeight="1">
      <c r="A61" s="12" t="s">
        <v>76</v>
      </c>
      <c r="B61" s="12" t="s">
        <v>219</v>
      </c>
      <c r="C61" s="12" t="s">
        <v>250</v>
      </c>
      <c r="D61" s="12" t="s">
        <v>253</v>
      </c>
      <c r="E61" s="12">
        <v>125.0</v>
      </c>
      <c r="F61" s="12" t="s">
        <v>82</v>
      </c>
      <c r="G61" s="11"/>
      <c r="H61" s="12" t="s">
        <v>252</v>
      </c>
      <c r="I61" s="18">
        <v>33.0</v>
      </c>
      <c r="J61" s="14"/>
      <c r="K61" s="14"/>
      <c r="L61" s="14"/>
      <c r="M61" s="14" t="str">
        <f t="shared" si="1"/>
        <v/>
      </c>
      <c r="N61" s="14" t="str">
        <f t="shared" si="2"/>
        <v/>
      </c>
      <c r="O61" s="14" t="str">
        <f t="shared" si="3"/>
        <v/>
      </c>
      <c r="P61" s="16" t="str">
        <f t="shared" si="4"/>
        <v/>
      </c>
      <c r="Q61" s="12" t="str">
        <f t="shared" si="5"/>
        <v/>
      </c>
      <c r="R61" s="12" t="s">
        <v>64</v>
      </c>
      <c r="S61" s="12" t="str">
        <f t="shared" si="6"/>
        <v>Review</v>
      </c>
      <c r="T61" s="12" t="s">
        <v>173</v>
      </c>
      <c r="U61" s="11"/>
      <c r="V61" s="11"/>
      <c r="W61" s="11"/>
      <c r="X61" s="11"/>
      <c r="Y61" s="11"/>
      <c r="Z61" s="11"/>
      <c r="AA61" s="11"/>
    </row>
    <row r="62" ht="15.75" customHeight="1">
      <c r="A62" s="12" t="s">
        <v>76</v>
      </c>
      <c r="B62" s="12" t="s">
        <v>219</v>
      </c>
      <c r="C62" s="12" t="s">
        <v>250</v>
      </c>
      <c r="D62" s="12" t="s">
        <v>251</v>
      </c>
      <c r="E62" s="12">
        <v>300.0</v>
      </c>
      <c r="F62" s="12" t="s">
        <v>82</v>
      </c>
      <c r="G62" s="11"/>
      <c r="H62" s="12" t="s">
        <v>249</v>
      </c>
      <c r="I62" s="18">
        <v>60.0</v>
      </c>
      <c r="J62" s="18">
        <v>60.0</v>
      </c>
      <c r="K62" s="14"/>
      <c r="L62" s="18">
        <v>85.0</v>
      </c>
      <c r="M62" s="14">
        <f t="shared" si="1"/>
        <v>60</v>
      </c>
      <c r="N62" s="14">
        <f t="shared" si="2"/>
        <v>85</v>
      </c>
      <c r="O62" s="14">
        <f t="shared" si="3"/>
        <v>25</v>
      </c>
      <c r="P62" s="16">
        <f t="shared" si="4"/>
        <v>0.4166666667</v>
      </c>
      <c r="Q62" s="12" t="str">
        <f t="shared" si="5"/>
        <v>Lotus Price</v>
      </c>
      <c r="R62" s="12" t="s">
        <v>64</v>
      </c>
      <c r="S62" s="12" t="str">
        <f t="shared" si="6"/>
        <v>Review</v>
      </c>
      <c r="T62" s="12" t="s">
        <v>442</v>
      </c>
      <c r="U62" s="11"/>
      <c r="V62" s="11"/>
      <c r="W62" s="11"/>
      <c r="X62" s="11"/>
      <c r="Y62" s="11"/>
      <c r="Z62" s="11"/>
      <c r="AA62" s="11"/>
    </row>
    <row r="63" ht="15.75" customHeight="1">
      <c r="A63" s="12" t="s">
        <v>76</v>
      </c>
      <c r="B63" s="12" t="s">
        <v>140</v>
      </c>
      <c r="C63" s="12" t="s">
        <v>256</v>
      </c>
      <c r="D63" s="12" t="s">
        <v>257</v>
      </c>
      <c r="E63" s="12">
        <v>225.0</v>
      </c>
      <c r="F63" s="12" t="s">
        <v>82</v>
      </c>
      <c r="G63" s="11"/>
      <c r="H63" s="12" t="s">
        <v>255</v>
      </c>
      <c r="I63" s="18">
        <v>50.0</v>
      </c>
      <c r="J63" s="18">
        <v>51.0</v>
      </c>
      <c r="K63" s="14"/>
      <c r="L63" s="18">
        <v>51.0</v>
      </c>
      <c r="M63" s="14">
        <f t="shared" si="1"/>
        <v>51</v>
      </c>
      <c r="N63" s="14">
        <f t="shared" si="2"/>
        <v>51</v>
      </c>
      <c r="O63" s="14">
        <f t="shared" si="3"/>
        <v>0</v>
      </c>
      <c r="P63" s="16">
        <f t="shared" si="4"/>
        <v>0</v>
      </c>
      <c r="Q63" s="12" t="str">
        <f t="shared" si="5"/>
        <v>Lotus Price</v>
      </c>
      <c r="R63" s="12" t="s">
        <v>64</v>
      </c>
      <c r="S63" s="12" t="str">
        <f t="shared" si="6"/>
        <v>Review</v>
      </c>
      <c r="T63" s="12" t="s">
        <v>443</v>
      </c>
      <c r="U63" s="11"/>
      <c r="V63" s="11"/>
      <c r="W63" s="11"/>
      <c r="X63" s="11"/>
      <c r="Y63" s="11"/>
      <c r="Z63" s="11"/>
      <c r="AA63" s="11"/>
    </row>
    <row r="64" ht="15.75" customHeight="1">
      <c r="A64" s="12" t="s">
        <v>76</v>
      </c>
      <c r="B64" s="12" t="s">
        <v>140</v>
      </c>
      <c r="C64" s="12" t="s">
        <v>256</v>
      </c>
      <c r="D64" s="12" t="s">
        <v>261</v>
      </c>
      <c r="E64" s="12">
        <v>225.0</v>
      </c>
      <c r="F64" s="12" t="s">
        <v>82</v>
      </c>
      <c r="G64" s="11"/>
      <c r="H64" s="12" t="s">
        <v>260</v>
      </c>
      <c r="I64" s="18">
        <v>50.0</v>
      </c>
      <c r="J64" s="18">
        <v>51.0</v>
      </c>
      <c r="K64" s="14"/>
      <c r="L64" s="18">
        <v>51.0</v>
      </c>
      <c r="M64" s="14">
        <f t="shared" si="1"/>
        <v>51</v>
      </c>
      <c r="N64" s="14">
        <f t="shared" si="2"/>
        <v>51</v>
      </c>
      <c r="O64" s="14">
        <f t="shared" si="3"/>
        <v>0</v>
      </c>
      <c r="P64" s="16">
        <f t="shared" si="4"/>
        <v>0</v>
      </c>
      <c r="Q64" s="12" t="str">
        <f t="shared" si="5"/>
        <v>Lotus Price</v>
      </c>
      <c r="R64" s="12" t="s">
        <v>64</v>
      </c>
      <c r="S64" s="12" t="str">
        <f t="shared" si="6"/>
        <v>Review</v>
      </c>
      <c r="T64" s="12" t="s">
        <v>444</v>
      </c>
      <c r="U64" s="11"/>
      <c r="V64" s="11"/>
      <c r="W64" s="11"/>
      <c r="X64" s="11"/>
      <c r="Y64" s="11"/>
      <c r="Z64" s="11"/>
      <c r="AA64" s="11"/>
    </row>
    <row r="65" ht="15.75" customHeight="1">
      <c r="A65" s="12" t="s">
        <v>76</v>
      </c>
      <c r="B65" s="12" t="s">
        <v>140</v>
      </c>
      <c r="C65" s="12" t="s">
        <v>256</v>
      </c>
      <c r="D65" s="12" t="s">
        <v>259</v>
      </c>
      <c r="E65" s="12">
        <v>225.0</v>
      </c>
      <c r="F65" s="12" t="s">
        <v>82</v>
      </c>
      <c r="G65" s="11"/>
      <c r="H65" s="12" t="s">
        <v>258</v>
      </c>
      <c r="I65" s="18">
        <v>50.0</v>
      </c>
      <c r="J65" s="18">
        <v>51.0</v>
      </c>
      <c r="K65" s="14"/>
      <c r="L65" s="18">
        <v>51.0</v>
      </c>
      <c r="M65" s="14">
        <f t="shared" si="1"/>
        <v>51</v>
      </c>
      <c r="N65" s="14">
        <f t="shared" si="2"/>
        <v>51</v>
      </c>
      <c r="O65" s="14">
        <f t="shared" si="3"/>
        <v>0</v>
      </c>
      <c r="P65" s="16">
        <f t="shared" si="4"/>
        <v>0</v>
      </c>
      <c r="Q65" s="12" t="str">
        <f t="shared" si="5"/>
        <v>Lotus Price</v>
      </c>
      <c r="R65" s="12" t="s">
        <v>64</v>
      </c>
      <c r="S65" s="12" t="str">
        <f t="shared" si="6"/>
        <v>Review</v>
      </c>
      <c r="T65" s="12" t="s">
        <v>445</v>
      </c>
      <c r="U65" s="11"/>
      <c r="V65" s="11"/>
      <c r="W65" s="11"/>
      <c r="X65" s="11"/>
      <c r="Y65" s="11"/>
      <c r="Z65" s="11"/>
      <c r="AA65" s="11"/>
    </row>
    <row r="66" ht="15.75" customHeight="1">
      <c r="A66" s="12" t="s">
        <v>42</v>
      </c>
      <c r="B66" s="12" t="s">
        <v>446</v>
      </c>
      <c r="C66" s="12" t="s">
        <v>428</v>
      </c>
      <c r="D66" s="12" t="s">
        <v>429</v>
      </c>
      <c r="E66" s="12">
        <v>4.3</v>
      </c>
      <c r="F66" s="12" t="s">
        <v>385</v>
      </c>
      <c r="G66" s="11"/>
      <c r="H66" s="12" t="s">
        <v>427</v>
      </c>
      <c r="I66" s="14"/>
      <c r="J66" s="14"/>
      <c r="K66" s="14"/>
      <c r="L66" s="14"/>
      <c r="M66" s="14" t="str">
        <f t="shared" si="1"/>
        <v/>
      </c>
      <c r="N66" s="14" t="str">
        <f t="shared" si="2"/>
        <v/>
      </c>
      <c r="O66" s="14" t="str">
        <f t="shared" si="3"/>
        <v/>
      </c>
      <c r="P66" s="16" t="str">
        <f t="shared" si="4"/>
        <v/>
      </c>
      <c r="Q66" s="12" t="str">
        <f t="shared" si="5"/>
        <v/>
      </c>
      <c r="R66" s="12" t="s">
        <v>64</v>
      </c>
      <c r="S66" s="12" t="str">
        <f t="shared" si="6"/>
        <v>Review</v>
      </c>
      <c r="T66" s="11"/>
      <c r="U66" s="11"/>
      <c r="V66" s="11"/>
      <c r="W66" s="11"/>
      <c r="X66" s="11"/>
      <c r="Y66" s="11"/>
      <c r="Z66" s="11"/>
      <c r="AA66" s="11"/>
    </row>
    <row r="67" ht="15.75" customHeight="1">
      <c r="A67" s="12" t="s">
        <v>42</v>
      </c>
      <c r="B67" s="12" t="s">
        <v>446</v>
      </c>
      <c r="C67" s="12" t="s">
        <v>428</v>
      </c>
      <c r="D67" s="12" t="s">
        <v>431</v>
      </c>
      <c r="E67" s="12">
        <v>4.3</v>
      </c>
      <c r="F67" s="12" t="s">
        <v>385</v>
      </c>
      <c r="G67" s="11"/>
      <c r="H67" s="12" t="s">
        <v>430</v>
      </c>
      <c r="I67" s="14"/>
      <c r="J67" s="14"/>
      <c r="K67" s="14"/>
      <c r="L67" s="14"/>
      <c r="M67" s="14" t="str">
        <f t="shared" si="1"/>
        <v/>
      </c>
      <c r="N67" s="14" t="str">
        <f t="shared" si="2"/>
        <v/>
      </c>
      <c r="O67" s="14" t="str">
        <f t="shared" si="3"/>
        <v/>
      </c>
      <c r="P67" s="16" t="str">
        <f t="shared" si="4"/>
        <v/>
      </c>
      <c r="Q67" s="12" t="str">
        <f t="shared" si="5"/>
        <v/>
      </c>
      <c r="R67" s="12" t="s">
        <v>64</v>
      </c>
      <c r="S67" s="12" t="str">
        <f t="shared" si="6"/>
        <v>Review</v>
      </c>
      <c r="T67" s="11"/>
      <c r="U67" s="11"/>
      <c r="V67" s="11"/>
      <c r="W67" s="11"/>
      <c r="X67" s="11"/>
      <c r="Y67" s="11"/>
      <c r="Z67" s="11"/>
      <c r="AA67" s="11"/>
    </row>
    <row r="68" ht="15.75" customHeight="1">
      <c r="A68" s="12" t="s">
        <v>42</v>
      </c>
      <c r="B68" s="12" t="s">
        <v>446</v>
      </c>
      <c r="C68" s="12" t="s">
        <v>433</v>
      </c>
      <c r="D68" s="12" t="s">
        <v>434</v>
      </c>
      <c r="E68" s="12">
        <v>500.0</v>
      </c>
      <c r="F68" s="12" t="s">
        <v>447</v>
      </c>
      <c r="G68" s="11"/>
      <c r="H68" s="12" t="s">
        <v>432</v>
      </c>
      <c r="I68" s="14"/>
      <c r="J68" s="14"/>
      <c r="K68" s="14"/>
      <c r="L68" s="14"/>
      <c r="M68" s="14" t="str">
        <f t="shared" si="1"/>
        <v/>
      </c>
      <c r="N68" s="14" t="str">
        <f t="shared" si="2"/>
        <v/>
      </c>
      <c r="O68" s="14" t="str">
        <f t="shared" si="3"/>
        <v/>
      </c>
      <c r="P68" s="16" t="str">
        <f t="shared" si="4"/>
        <v/>
      </c>
      <c r="Q68" s="12" t="str">
        <f t="shared" si="5"/>
        <v/>
      </c>
      <c r="R68" s="12" t="s">
        <v>64</v>
      </c>
      <c r="S68" s="12" t="str">
        <f t="shared" si="6"/>
        <v>Review</v>
      </c>
      <c r="T68" s="11"/>
      <c r="U68" s="11"/>
      <c r="V68" s="11"/>
      <c r="W68" s="11"/>
      <c r="X68" s="11"/>
      <c r="Y68" s="11"/>
      <c r="Z68" s="11"/>
      <c r="AA68" s="11"/>
    </row>
    <row r="69" ht="15.75" customHeight="1">
      <c r="A69" s="12" t="s">
        <v>76</v>
      </c>
      <c r="B69" s="12" t="s">
        <v>269</v>
      </c>
      <c r="C69" s="12" t="s">
        <v>244</v>
      </c>
      <c r="D69" s="23" t="s">
        <v>245</v>
      </c>
      <c r="E69" s="12">
        <v>180.0</v>
      </c>
      <c r="F69" s="12" t="s">
        <v>82</v>
      </c>
      <c r="G69" s="11"/>
      <c r="H69" s="12" t="s">
        <v>243</v>
      </c>
      <c r="I69" s="18">
        <v>37.0</v>
      </c>
      <c r="J69" s="18">
        <v>45.0</v>
      </c>
      <c r="K69" s="14"/>
      <c r="L69" s="18">
        <v>45.0</v>
      </c>
      <c r="M69" s="14">
        <f t="shared" si="1"/>
        <v>45</v>
      </c>
      <c r="N69" s="14">
        <f t="shared" si="2"/>
        <v>45</v>
      </c>
      <c r="O69" s="14">
        <f t="shared" si="3"/>
        <v>0</v>
      </c>
      <c r="P69" s="16">
        <f t="shared" si="4"/>
        <v>0</v>
      </c>
      <c r="Q69" s="12" t="str">
        <f t="shared" si="5"/>
        <v>Lotus Price</v>
      </c>
      <c r="R69" s="12" t="s">
        <v>64</v>
      </c>
      <c r="S69" s="12" t="str">
        <f t="shared" si="6"/>
        <v>Review</v>
      </c>
      <c r="T69" s="12" t="s">
        <v>444</v>
      </c>
      <c r="U69" s="11"/>
      <c r="V69" s="11"/>
      <c r="W69" s="11"/>
      <c r="X69" s="11"/>
      <c r="Y69" s="11"/>
      <c r="Z69" s="11"/>
      <c r="AA69" s="11"/>
    </row>
    <row r="70" ht="15.75" customHeight="1">
      <c r="A70" s="12" t="s">
        <v>76</v>
      </c>
      <c r="B70" s="12" t="s">
        <v>269</v>
      </c>
      <c r="C70" s="12" t="s">
        <v>244</v>
      </c>
      <c r="D70" s="12" t="s">
        <v>248</v>
      </c>
      <c r="E70" s="12">
        <v>110.0</v>
      </c>
      <c r="F70" s="12" t="s">
        <v>82</v>
      </c>
      <c r="G70" s="11"/>
      <c r="H70" s="12" t="s">
        <v>247</v>
      </c>
      <c r="I70" s="18">
        <v>37.0</v>
      </c>
      <c r="J70" s="14"/>
      <c r="K70" s="14"/>
      <c r="L70" s="14"/>
      <c r="M70" s="14" t="str">
        <f t="shared" si="1"/>
        <v/>
      </c>
      <c r="N70" s="14" t="str">
        <f t="shared" si="2"/>
        <v/>
      </c>
      <c r="O70" s="14" t="str">
        <f t="shared" si="3"/>
        <v/>
      </c>
      <c r="P70" s="16" t="str">
        <f t="shared" si="4"/>
        <v/>
      </c>
      <c r="Q70" s="12" t="str">
        <f t="shared" si="5"/>
        <v/>
      </c>
      <c r="R70" s="12" t="s">
        <v>64</v>
      </c>
      <c r="S70" s="12" t="str">
        <f t="shared" si="6"/>
        <v>Review</v>
      </c>
      <c r="T70" s="12" t="s">
        <v>173</v>
      </c>
      <c r="U70" s="11"/>
      <c r="V70" s="11"/>
      <c r="W70" s="11"/>
      <c r="X70" s="11"/>
      <c r="Y70" s="11"/>
      <c r="Z70" s="11"/>
      <c r="AA70" s="11"/>
    </row>
    <row r="71" ht="15.75" customHeight="1">
      <c r="A71" s="12" t="s">
        <v>76</v>
      </c>
      <c r="B71" s="12" t="s">
        <v>448</v>
      </c>
      <c r="C71" s="12" t="s">
        <v>34</v>
      </c>
      <c r="D71" s="12" t="s">
        <v>36</v>
      </c>
      <c r="E71" s="12">
        <v>1.5</v>
      </c>
      <c r="F71" s="12" t="s">
        <v>449</v>
      </c>
      <c r="G71" s="11"/>
      <c r="H71" s="12" t="s">
        <v>33</v>
      </c>
      <c r="I71" s="18">
        <v>340.0</v>
      </c>
      <c r="J71" s="18">
        <v>341.0</v>
      </c>
      <c r="K71" s="14"/>
      <c r="L71" s="18">
        <v>330.0</v>
      </c>
      <c r="M71" s="14">
        <f t="shared" si="1"/>
        <v>330</v>
      </c>
      <c r="N71" s="14">
        <f t="shared" si="2"/>
        <v>341</v>
      </c>
      <c r="O71" s="14">
        <f t="shared" si="3"/>
        <v>11</v>
      </c>
      <c r="P71" s="16">
        <f t="shared" si="4"/>
        <v>0.03333333333</v>
      </c>
      <c r="Q71" s="12" t="str">
        <f t="shared" si="5"/>
        <v>BigC Price</v>
      </c>
      <c r="R71" s="12" t="s">
        <v>64</v>
      </c>
      <c r="S71" s="12" t="str">
        <f t="shared" si="6"/>
        <v>Review</v>
      </c>
      <c r="T71" s="12" t="s">
        <v>450</v>
      </c>
      <c r="U71" s="11"/>
      <c r="V71" s="11"/>
      <c r="W71" s="11"/>
      <c r="X71" s="11"/>
      <c r="Y71" s="11"/>
      <c r="Z71" s="11"/>
      <c r="AA71" s="11"/>
    </row>
    <row r="72" ht="15.75" customHeight="1">
      <c r="A72" s="12" t="s">
        <v>76</v>
      </c>
      <c r="B72" s="12" t="s">
        <v>448</v>
      </c>
      <c r="C72" s="12" t="s">
        <v>34</v>
      </c>
      <c r="D72" s="12" t="s">
        <v>68</v>
      </c>
      <c r="E72" s="12">
        <v>240.0</v>
      </c>
      <c r="F72" s="12" t="s">
        <v>82</v>
      </c>
      <c r="G72" s="11"/>
      <c r="H72" s="12" t="s">
        <v>67</v>
      </c>
      <c r="I72" s="18">
        <v>132.0</v>
      </c>
      <c r="J72" s="14"/>
      <c r="K72" s="18">
        <v>149.0</v>
      </c>
      <c r="L72" s="14"/>
      <c r="M72" s="14">
        <f t="shared" si="1"/>
        <v>149</v>
      </c>
      <c r="N72" s="14">
        <f t="shared" si="2"/>
        <v>149</v>
      </c>
      <c r="O72" s="14">
        <f t="shared" si="3"/>
        <v>0</v>
      </c>
      <c r="P72" s="16">
        <f t="shared" si="4"/>
        <v>0</v>
      </c>
      <c r="Q72" s="12" t="str">
        <f t="shared" si="5"/>
        <v>Makro Price</v>
      </c>
      <c r="R72" s="12" t="s">
        <v>64</v>
      </c>
      <c r="S72" s="12" t="str">
        <f t="shared" si="6"/>
        <v>Review</v>
      </c>
      <c r="T72" s="12" t="s">
        <v>451</v>
      </c>
      <c r="U72" s="11"/>
      <c r="V72" s="11"/>
      <c r="W72" s="11"/>
      <c r="X72" s="11"/>
      <c r="Y72" s="11"/>
      <c r="Z72" s="11"/>
      <c r="AA72" s="11"/>
    </row>
    <row r="73" ht="15.75" customHeight="1">
      <c r="A73" s="12" t="s">
        <v>76</v>
      </c>
      <c r="B73" s="12" t="s">
        <v>448</v>
      </c>
      <c r="C73" s="12" t="s">
        <v>34</v>
      </c>
      <c r="D73" s="12" t="s">
        <v>62</v>
      </c>
      <c r="E73" s="12">
        <v>2.0</v>
      </c>
      <c r="F73" s="12" t="s">
        <v>449</v>
      </c>
      <c r="G73" s="11"/>
      <c r="H73" s="12" t="s">
        <v>61</v>
      </c>
      <c r="I73" s="18">
        <v>230.0</v>
      </c>
      <c r="J73" s="14"/>
      <c r="K73" s="14"/>
      <c r="L73" s="18">
        <v>213.0</v>
      </c>
      <c r="M73" s="14">
        <f t="shared" si="1"/>
        <v>213</v>
      </c>
      <c r="N73" s="14">
        <f t="shared" si="2"/>
        <v>213</v>
      </c>
      <c r="O73" s="14">
        <f t="shared" si="3"/>
        <v>0</v>
      </c>
      <c r="P73" s="16">
        <f t="shared" si="4"/>
        <v>0</v>
      </c>
      <c r="Q73" s="12" t="str">
        <f t="shared" si="5"/>
        <v>BigC Price</v>
      </c>
      <c r="R73" s="12" t="s">
        <v>64</v>
      </c>
      <c r="S73" s="12" t="str">
        <f t="shared" si="6"/>
        <v>Review</v>
      </c>
      <c r="T73" s="12" t="s">
        <v>452</v>
      </c>
      <c r="U73" s="11"/>
      <c r="V73" s="11"/>
      <c r="W73" s="11"/>
      <c r="X73" s="11"/>
      <c r="Y73" s="11"/>
      <c r="Z73" s="11"/>
      <c r="AA73" s="11"/>
    </row>
    <row r="74" ht="15.75" customHeight="1">
      <c r="A74" s="12" t="s">
        <v>76</v>
      </c>
      <c r="B74" s="12" t="s">
        <v>448</v>
      </c>
      <c r="C74" s="12" t="s">
        <v>34</v>
      </c>
      <c r="D74" s="12" t="s">
        <v>74</v>
      </c>
      <c r="E74" s="12">
        <v>325.0</v>
      </c>
      <c r="F74" s="12" t="s">
        <v>82</v>
      </c>
      <c r="G74" s="12">
        <v>8.851959142011E12</v>
      </c>
      <c r="H74" s="12" t="s">
        <v>73</v>
      </c>
      <c r="I74" s="18">
        <v>325.0</v>
      </c>
      <c r="J74" s="18">
        <v>15.0</v>
      </c>
      <c r="K74" s="18">
        <v>14.5</v>
      </c>
      <c r="L74" s="18">
        <v>15.0</v>
      </c>
      <c r="M74" s="14">
        <f t="shared" si="1"/>
        <v>14.5</v>
      </c>
      <c r="N74" s="14">
        <f t="shared" si="2"/>
        <v>15</v>
      </c>
      <c r="O74" s="14">
        <f t="shared" si="3"/>
        <v>0.5</v>
      </c>
      <c r="P74" s="16">
        <f t="shared" si="4"/>
        <v>0.03448275862</v>
      </c>
      <c r="Q74" s="12" t="str">
        <f t="shared" si="5"/>
        <v>Makro Price</v>
      </c>
      <c r="R74" s="12" t="s">
        <v>64</v>
      </c>
      <c r="S74" s="12" t="str">
        <f t="shared" si="6"/>
        <v>Low</v>
      </c>
      <c r="T74" s="12" t="s">
        <v>453</v>
      </c>
      <c r="U74" s="11"/>
      <c r="V74" s="11"/>
      <c r="W74" s="11"/>
      <c r="X74" s="11"/>
      <c r="Y74" s="11"/>
      <c r="Z74" s="11"/>
      <c r="AA74" s="11"/>
    </row>
    <row r="75" ht="15.75" customHeight="1">
      <c r="A75" s="12" t="s">
        <v>76</v>
      </c>
      <c r="B75" s="12" t="s">
        <v>448</v>
      </c>
      <c r="C75" s="12" t="s">
        <v>34</v>
      </c>
      <c r="D75" s="12" t="s">
        <v>88</v>
      </c>
      <c r="E75" s="12">
        <v>500.0</v>
      </c>
      <c r="F75" s="12" t="s">
        <v>82</v>
      </c>
      <c r="G75" s="11"/>
      <c r="H75" s="12" t="s">
        <v>87</v>
      </c>
      <c r="I75" s="18">
        <v>185.0</v>
      </c>
      <c r="J75" s="18">
        <v>186.0</v>
      </c>
      <c r="K75" s="14"/>
      <c r="L75" s="14"/>
      <c r="M75" s="14">
        <f t="shared" si="1"/>
        <v>186</v>
      </c>
      <c r="N75" s="14">
        <f t="shared" si="2"/>
        <v>186</v>
      </c>
      <c r="O75" s="14">
        <f t="shared" si="3"/>
        <v>0</v>
      </c>
      <c r="P75" s="16">
        <f t="shared" si="4"/>
        <v>0</v>
      </c>
      <c r="Q75" s="12" t="str">
        <f t="shared" si="5"/>
        <v>Lotus Price</v>
      </c>
      <c r="R75" s="12" t="s">
        <v>64</v>
      </c>
      <c r="S75" s="12" t="str">
        <f t="shared" si="6"/>
        <v>Review</v>
      </c>
      <c r="T75" s="12" t="s">
        <v>454</v>
      </c>
      <c r="U75" s="11"/>
      <c r="V75" s="11"/>
      <c r="W75" s="11"/>
      <c r="X75" s="11"/>
      <c r="Y75" s="11"/>
      <c r="Z75" s="11"/>
      <c r="AA75" s="11"/>
    </row>
    <row r="76" ht="15.75" customHeight="1">
      <c r="A76" s="12" t="s">
        <v>76</v>
      </c>
      <c r="B76" s="12" t="s">
        <v>448</v>
      </c>
      <c r="C76" s="12" t="s">
        <v>34</v>
      </c>
      <c r="D76" s="23" t="s">
        <v>93</v>
      </c>
      <c r="E76" s="12">
        <v>999.0</v>
      </c>
      <c r="F76" s="12" t="s">
        <v>82</v>
      </c>
      <c r="G76" s="11"/>
      <c r="H76" s="12" t="s">
        <v>92</v>
      </c>
      <c r="I76" s="18">
        <v>260.0</v>
      </c>
      <c r="J76" s="14"/>
      <c r="K76" s="14"/>
      <c r="L76" s="18">
        <v>299.0</v>
      </c>
      <c r="M76" s="14">
        <f t="shared" si="1"/>
        <v>299</v>
      </c>
      <c r="N76" s="14">
        <f t="shared" si="2"/>
        <v>299</v>
      </c>
      <c r="O76" s="14">
        <f t="shared" si="3"/>
        <v>0</v>
      </c>
      <c r="P76" s="16">
        <f t="shared" si="4"/>
        <v>0</v>
      </c>
      <c r="Q76" s="12" t="str">
        <f t="shared" si="5"/>
        <v>BigC Price</v>
      </c>
      <c r="R76" s="12" t="s">
        <v>64</v>
      </c>
      <c r="S76" s="12" t="str">
        <f t="shared" si="6"/>
        <v>Review</v>
      </c>
      <c r="T76" s="12" t="s">
        <v>455</v>
      </c>
      <c r="U76" s="11"/>
      <c r="V76" s="11"/>
      <c r="W76" s="11"/>
      <c r="X76" s="11"/>
      <c r="Y76" s="11"/>
      <c r="Z76" s="11"/>
      <c r="AA76" s="11"/>
    </row>
    <row r="77" ht="15.75" customHeight="1">
      <c r="A77" s="12" t="s">
        <v>76</v>
      </c>
      <c r="B77" s="12" t="s">
        <v>448</v>
      </c>
      <c r="C77" s="12" t="s">
        <v>96</v>
      </c>
      <c r="D77" s="23" t="s">
        <v>98</v>
      </c>
      <c r="E77" s="12">
        <v>1.5</v>
      </c>
      <c r="F77" s="12" t="s">
        <v>449</v>
      </c>
      <c r="G77" s="11"/>
      <c r="H77" s="12" t="s">
        <v>95</v>
      </c>
      <c r="I77" s="18">
        <v>340.0</v>
      </c>
      <c r="J77" s="18">
        <v>375.0</v>
      </c>
      <c r="K77" s="14"/>
      <c r="L77" s="18">
        <v>336.0</v>
      </c>
      <c r="M77" s="14">
        <f t="shared" si="1"/>
        <v>336</v>
      </c>
      <c r="N77" s="14">
        <f t="shared" si="2"/>
        <v>375</v>
      </c>
      <c r="O77" s="14">
        <f t="shared" si="3"/>
        <v>39</v>
      </c>
      <c r="P77" s="16">
        <f t="shared" si="4"/>
        <v>0.1160714286</v>
      </c>
      <c r="Q77" s="12" t="str">
        <f t="shared" si="5"/>
        <v>BigC Price</v>
      </c>
      <c r="R77" s="12" t="s">
        <v>64</v>
      </c>
      <c r="S77" s="12" t="str">
        <f t="shared" si="6"/>
        <v>Review</v>
      </c>
      <c r="T77" s="12" t="s">
        <v>450</v>
      </c>
      <c r="U77" s="11"/>
      <c r="V77" s="11"/>
      <c r="W77" s="11"/>
      <c r="X77" s="11"/>
      <c r="Y77" s="11"/>
      <c r="Z77" s="11"/>
      <c r="AA77" s="11"/>
    </row>
    <row r="78" ht="15.75" customHeight="1">
      <c r="A78" s="12" t="s">
        <v>76</v>
      </c>
      <c r="B78" s="12" t="s">
        <v>448</v>
      </c>
      <c r="C78" s="12" t="s">
        <v>96</v>
      </c>
      <c r="D78" s="23" t="s">
        <v>110</v>
      </c>
      <c r="E78" s="12">
        <v>325.0</v>
      </c>
      <c r="F78" s="12" t="s">
        <v>82</v>
      </c>
      <c r="G78" s="11"/>
      <c r="H78" s="12" t="s">
        <v>109</v>
      </c>
      <c r="I78" s="18">
        <v>325.0</v>
      </c>
      <c r="J78" s="14"/>
      <c r="K78" s="14"/>
      <c r="L78" s="18">
        <v>316.0</v>
      </c>
      <c r="M78" s="14">
        <f t="shared" si="1"/>
        <v>316</v>
      </c>
      <c r="N78" s="14">
        <f t="shared" si="2"/>
        <v>316</v>
      </c>
      <c r="O78" s="14">
        <f t="shared" si="3"/>
        <v>0</v>
      </c>
      <c r="P78" s="16">
        <f t="shared" si="4"/>
        <v>0</v>
      </c>
      <c r="Q78" s="12" t="str">
        <f t="shared" si="5"/>
        <v>BigC Price</v>
      </c>
      <c r="R78" s="12" t="s">
        <v>64</v>
      </c>
      <c r="S78" s="12" t="str">
        <f t="shared" si="6"/>
        <v>Review</v>
      </c>
      <c r="T78" s="12" t="s">
        <v>111</v>
      </c>
      <c r="U78" s="11"/>
      <c r="V78" s="11"/>
      <c r="W78" s="11"/>
      <c r="X78" s="11"/>
      <c r="Y78" s="11"/>
      <c r="Z78" s="11"/>
      <c r="AA78" s="11"/>
    </row>
    <row r="79" ht="15.75" customHeight="1">
      <c r="A79" s="12" t="s">
        <v>76</v>
      </c>
      <c r="B79" s="12" t="s">
        <v>448</v>
      </c>
      <c r="C79" s="12" t="s">
        <v>96</v>
      </c>
      <c r="D79" s="12" t="s">
        <v>114</v>
      </c>
      <c r="E79" s="12">
        <v>500.0</v>
      </c>
      <c r="F79" s="12" t="s">
        <v>82</v>
      </c>
      <c r="G79" s="11"/>
      <c r="H79" s="12" t="s">
        <v>113</v>
      </c>
      <c r="I79" s="18">
        <v>185.0</v>
      </c>
      <c r="J79" s="18">
        <v>186.0</v>
      </c>
      <c r="K79" s="14"/>
      <c r="L79" s="14"/>
      <c r="M79" s="14">
        <f t="shared" si="1"/>
        <v>186</v>
      </c>
      <c r="N79" s="14">
        <f t="shared" si="2"/>
        <v>186</v>
      </c>
      <c r="O79" s="14">
        <f t="shared" si="3"/>
        <v>0</v>
      </c>
      <c r="P79" s="16">
        <f t="shared" si="4"/>
        <v>0</v>
      </c>
      <c r="Q79" s="12" t="str">
        <f t="shared" si="5"/>
        <v>Lotus Price</v>
      </c>
      <c r="R79" s="12" t="s">
        <v>64</v>
      </c>
      <c r="S79" s="12" t="str">
        <f t="shared" si="6"/>
        <v>Review</v>
      </c>
      <c r="T79" s="12" t="s">
        <v>454</v>
      </c>
      <c r="U79" s="11"/>
      <c r="V79" s="11"/>
      <c r="W79" s="11"/>
      <c r="X79" s="11"/>
      <c r="Y79" s="11"/>
      <c r="Z79" s="11"/>
      <c r="AA79" s="11"/>
    </row>
    <row r="80" ht="15.75" customHeight="1">
      <c r="A80" s="12" t="s">
        <v>76</v>
      </c>
      <c r="B80" s="12" t="s">
        <v>448</v>
      </c>
      <c r="C80" s="12" t="s">
        <v>96</v>
      </c>
      <c r="D80" s="12" t="s">
        <v>120</v>
      </c>
      <c r="E80" s="12">
        <v>999.0</v>
      </c>
      <c r="F80" s="12" t="s">
        <v>82</v>
      </c>
      <c r="G80" s="11"/>
      <c r="H80" s="12" t="s">
        <v>119</v>
      </c>
      <c r="I80" s="18">
        <v>260.0</v>
      </c>
      <c r="J80" s="14"/>
      <c r="K80" s="14"/>
      <c r="L80" s="18">
        <v>299.0</v>
      </c>
      <c r="M80" s="14">
        <f t="shared" si="1"/>
        <v>299</v>
      </c>
      <c r="N80" s="14">
        <f t="shared" si="2"/>
        <v>299</v>
      </c>
      <c r="O80" s="14">
        <f t="shared" si="3"/>
        <v>0</v>
      </c>
      <c r="P80" s="16">
        <f t="shared" si="4"/>
        <v>0</v>
      </c>
      <c r="Q80" s="12" t="str">
        <f t="shared" si="5"/>
        <v>BigC Price</v>
      </c>
      <c r="R80" s="12" t="s">
        <v>64</v>
      </c>
      <c r="S80" s="12" t="str">
        <f t="shared" si="6"/>
        <v>Review</v>
      </c>
      <c r="T80" s="12" t="s">
        <v>455</v>
      </c>
      <c r="U80" s="11"/>
      <c r="V80" s="11"/>
      <c r="W80" s="11"/>
      <c r="X80" s="11"/>
      <c r="Y80" s="11"/>
      <c r="Z80" s="11"/>
      <c r="AA80" s="11"/>
    </row>
    <row r="81" ht="15.75" customHeight="1">
      <c r="A81" s="12" t="s">
        <v>382</v>
      </c>
      <c r="B81" s="12" t="s">
        <v>456</v>
      </c>
      <c r="C81" s="12" t="s">
        <v>125</v>
      </c>
      <c r="D81" s="12" t="s">
        <v>126</v>
      </c>
      <c r="E81" s="12">
        <v>48.0</v>
      </c>
      <c r="F81" s="12" t="s">
        <v>385</v>
      </c>
      <c r="G81" s="12">
        <v>8.850718801015E12</v>
      </c>
      <c r="H81" s="12" t="s">
        <v>124</v>
      </c>
      <c r="I81" s="18">
        <v>100.0</v>
      </c>
      <c r="J81" s="18">
        <v>20.0</v>
      </c>
      <c r="K81" s="18">
        <v>19.0</v>
      </c>
      <c r="L81" s="18">
        <v>20.0</v>
      </c>
      <c r="M81" s="14">
        <f t="shared" si="1"/>
        <v>19</v>
      </c>
      <c r="N81" s="14">
        <f t="shared" si="2"/>
        <v>20</v>
      </c>
      <c r="O81" s="14">
        <f t="shared" si="3"/>
        <v>1</v>
      </c>
      <c r="P81" s="16">
        <f t="shared" si="4"/>
        <v>0.05263157895</v>
      </c>
      <c r="Q81" s="12" t="str">
        <f t="shared" si="5"/>
        <v>Makro Price</v>
      </c>
      <c r="R81" s="12" t="s">
        <v>64</v>
      </c>
      <c r="S81" s="12" t="str">
        <f t="shared" si="6"/>
        <v>Medium</v>
      </c>
      <c r="T81" s="12" t="s">
        <v>453</v>
      </c>
      <c r="U81" s="11"/>
      <c r="V81" s="11"/>
      <c r="W81" s="11"/>
      <c r="X81" s="11"/>
      <c r="Y81" s="11"/>
      <c r="Z81" s="11"/>
      <c r="AA81" s="11"/>
    </row>
    <row r="82" ht="15.75" customHeight="1">
      <c r="A82" s="12" t="s">
        <v>76</v>
      </c>
      <c r="B82" s="12" t="s">
        <v>457</v>
      </c>
      <c r="C82" s="12" t="s">
        <v>136</v>
      </c>
      <c r="D82" s="12" t="s">
        <v>137</v>
      </c>
      <c r="E82" s="12">
        <v>1.5</v>
      </c>
      <c r="F82" s="12" t="s">
        <v>449</v>
      </c>
      <c r="G82" s="11"/>
      <c r="H82" s="12" t="s">
        <v>135</v>
      </c>
      <c r="I82" s="18">
        <v>50.0</v>
      </c>
      <c r="J82" s="18">
        <v>55.0</v>
      </c>
      <c r="K82" s="18">
        <v>47.0</v>
      </c>
      <c r="L82" s="18">
        <v>62.0</v>
      </c>
      <c r="M82" s="14">
        <f t="shared" si="1"/>
        <v>47</v>
      </c>
      <c r="N82" s="14">
        <f t="shared" si="2"/>
        <v>62</v>
      </c>
      <c r="O82" s="14">
        <f t="shared" si="3"/>
        <v>15</v>
      </c>
      <c r="P82" s="16">
        <f t="shared" si="4"/>
        <v>0.3191489362</v>
      </c>
      <c r="Q82" s="12" t="str">
        <f t="shared" si="5"/>
        <v>Makro Price</v>
      </c>
      <c r="R82" s="12" t="s">
        <v>64</v>
      </c>
      <c r="S82" s="12" t="str">
        <f t="shared" si="6"/>
        <v>High</v>
      </c>
      <c r="T82" s="12" t="s">
        <v>458</v>
      </c>
      <c r="U82" s="11"/>
      <c r="V82" s="11"/>
      <c r="W82" s="11"/>
      <c r="X82" s="11"/>
      <c r="Y82" s="11"/>
      <c r="Z82" s="11"/>
      <c r="AA82" s="11"/>
    </row>
    <row r="83" ht="15.75" customHeight="1">
      <c r="A83" s="12" t="s">
        <v>76</v>
      </c>
      <c r="B83" s="12" t="s">
        <v>457</v>
      </c>
      <c r="C83" s="12" t="s">
        <v>136</v>
      </c>
      <c r="D83" s="12" t="s">
        <v>152</v>
      </c>
      <c r="E83" s="12">
        <v>600.0</v>
      </c>
      <c r="F83" s="12" t="s">
        <v>82</v>
      </c>
      <c r="G83" s="11"/>
      <c r="H83" s="12" t="s">
        <v>151</v>
      </c>
      <c r="I83" s="18">
        <v>50.0</v>
      </c>
      <c r="J83" s="14"/>
      <c r="K83" s="18">
        <v>47.0</v>
      </c>
      <c r="L83" s="18">
        <v>62.0</v>
      </c>
      <c r="M83" s="14">
        <f t="shared" si="1"/>
        <v>47</v>
      </c>
      <c r="N83" s="14">
        <f t="shared" si="2"/>
        <v>62</v>
      </c>
      <c r="O83" s="14">
        <f t="shared" si="3"/>
        <v>15</v>
      </c>
      <c r="P83" s="16">
        <f t="shared" si="4"/>
        <v>0.3191489362</v>
      </c>
      <c r="Q83" s="12" t="str">
        <f t="shared" si="5"/>
        <v>Makro Price</v>
      </c>
      <c r="R83" s="12" t="s">
        <v>64</v>
      </c>
      <c r="S83" s="12" t="str">
        <f t="shared" si="6"/>
        <v>Review</v>
      </c>
      <c r="T83" s="12" t="s">
        <v>459</v>
      </c>
      <c r="U83" s="11"/>
      <c r="V83" s="11"/>
      <c r="W83" s="11"/>
      <c r="X83" s="11"/>
      <c r="Y83" s="11"/>
      <c r="Z83" s="11"/>
      <c r="AA83" s="11"/>
    </row>
    <row r="84" ht="15.75" customHeight="1">
      <c r="A84" s="12" t="s">
        <v>42</v>
      </c>
      <c r="B84" s="12" t="s">
        <v>206</v>
      </c>
      <c r="C84" s="12" t="s">
        <v>424</v>
      </c>
      <c r="D84" s="12" t="s">
        <v>425</v>
      </c>
      <c r="E84" s="12">
        <v>50.0</v>
      </c>
      <c r="F84" s="12" t="s">
        <v>210</v>
      </c>
      <c r="G84" s="11"/>
      <c r="H84" s="12" t="s">
        <v>423</v>
      </c>
      <c r="I84" s="18">
        <v>185.0</v>
      </c>
      <c r="J84" s="14"/>
      <c r="K84" s="14"/>
      <c r="L84" s="14"/>
      <c r="M84" s="14" t="str">
        <f t="shared" si="1"/>
        <v/>
      </c>
      <c r="N84" s="14" t="str">
        <f t="shared" si="2"/>
        <v/>
      </c>
      <c r="O84" s="14" t="str">
        <f t="shared" si="3"/>
        <v/>
      </c>
      <c r="P84" s="16" t="str">
        <f t="shared" si="4"/>
        <v/>
      </c>
      <c r="Q84" s="12" t="str">
        <f t="shared" si="5"/>
        <v/>
      </c>
      <c r="R84" s="12" t="s">
        <v>64</v>
      </c>
      <c r="S84" s="12" t="str">
        <f t="shared" si="6"/>
        <v>Review</v>
      </c>
      <c r="T84" s="11"/>
      <c r="U84" s="11"/>
      <c r="V84" s="11"/>
      <c r="W84" s="11"/>
      <c r="X84" s="11"/>
      <c r="Y84" s="11"/>
      <c r="Z84" s="11"/>
      <c r="AA84" s="11"/>
    </row>
    <row r="85" ht="15.75" customHeight="1">
      <c r="A85" s="12" t="s">
        <v>76</v>
      </c>
      <c r="B85" s="12" t="s">
        <v>457</v>
      </c>
      <c r="C85" s="12" t="s">
        <v>156</v>
      </c>
      <c r="D85" s="12" t="s">
        <v>157</v>
      </c>
      <c r="E85" s="12">
        <v>1.5</v>
      </c>
      <c r="F85" s="12" t="s">
        <v>449</v>
      </c>
      <c r="G85" s="11"/>
      <c r="H85" s="12" t="s">
        <v>155</v>
      </c>
      <c r="I85" s="18">
        <v>50.0</v>
      </c>
      <c r="J85" s="18">
        <v>55.0</v>
      </c>
      <c r="K85" s="18">
        <v>49.0</v>
      </c>
      <c r="L85" s="18">
        <v>55.0</v>
      </c>
      <c r="M85" s="14">
        <f t="shared" si="1"/>
        <v>49</v>
      </c>
      <c r="N85" s="14">
        <f t="shared" si="2"/>
        <v>55</v>
      </c>
      <c r="O85" s="14">
        <f t="shared" si="3"/>
        <v>6</v>
      </c>
      <c r="P85" s="16">
        <f t="shared" si="4"/>
        <v>0.1224489796</v>
      </c>
      <c r="Q85" s="12" t="str">
        <f t="shared" si="5"/>
        <v>Makro Price</v>
      </c>
      <c r="R85" s="12" t="s">
        <v>64</v>
      </c>
      <c r="S85" s="12" t="str">
        <f t="shared" si="6"/>
        <v>High</v>
      </c>
      <c r="T85" s="12" t="s">
        <v>458</v>
      </c>
      <c r="U85" s="11"/>
      <c r="V85" s="11"/>
      <c r="W85" s="11"/>
      <c r="X85" s="11"/>
      <c r="Y85" s="11"/>
      <c r="Z85" s="11"/>
      <c r="AA85" s="11"/>
    </row>
    <row r="86" ht="15.75" customHeight="1">
      <c r="A86" s="12" t="s">
        <v>76</v>
      </c>
      <c r="B86" s="12" t="s">
        <v>460</v>
      </c>
      <c r="C86" s="12" t="s">
        <v>156</v>
      </c>
      <c r="D86" s="23" t="s">
        <v>171</v>
      </c>
      <c r="E86" s="12">
        <v>330.0</v>
      </c>
      <c r="F86" s="12" t="s">
        <v>82</v>
      </c>
      <c r="G86" s="11"/>
      <c r="H86" s="12" t="s">
        <v>170</v>
      </c>
      <c r="I86" s="18">
        <v>85.0</v>
      </c>
      <c r="J86" s="14"/>
      <c r="K86" s="18">
        <v>83.0</v>
      </c>
      <c r="L86" s="18">
        <v>83.0</v>
      </c>
      <c r="M86" s="14">
        <f t="shared" si="1"/>
        <v>83</v>
      </c>
      <c r="N86" s="14">
        <f t="shared" si="2"/>
        <v>83</v>
      </c>
      <c r="O86" s="14">
        <f t="shared" si="3"/>
        <v>0</v>
      </c>
      <c r="P86" s="16">
        <f t="shared" si="4"/>
        <v>0</v>
      </c>
      <c r="Q86" s="12" t="str">
        <f t="shared" si="5"/>
        <v>Makro Price</v>
      </c>
      <c r="R86" s="12" t="s">
        <v>64</v>
      </c>
      <c r="S86" s="12" t="str">
        <f t="shared" si="6"/>
        <v>Review</v>
      </c>
      <c r="T86" s="12" t="s">
        <v>461</v>
      </c>
      <c r="U86" s="11"/>
      <c r="V86" s="11"/>
      <c r="W86" s="11"/>
      <c r="X86" s="11"/>
      <c r="Y86" s="11"/>
      <c r="Z86" s="11"/>
      <c r="AA86" s="11"/>
    </row>
    <row r="87" ht="15.75" customHeight="1">
      <c r="A87" s="11"/>
      <c r="B87" s="11"/>
      <c r="C87" s="12" t="s">
        <v>462</v>
      </c>
      <c r="D87" s="12" t="s">
        <v>463</v>
      </c>
      <c r="E87" s="11"/>
      <c r="F87" s="11"/>
      <c r="G87" s="11"/>
      <c r="H87" s="11"/>
      <c r="I87" s="12">
        <v>375.0</v>
      </c>
      <c r="J87" s="11"/>
      <c r="K87" s="11"/>
      <c r="L87" s="11"/>
      <c r="M87" s="11"/>
      <c r="N87" s="11"/>
      <c r="O87" s="11"/>
      <c r="P87" s="11"/>
      <c r="Q87" s="12"/>
      <c r="R87" s="12"/>
      <c r="S87" s="12"/>
      <c r="T87" s="11"/>
      <c r="U87" s="11"/>
      <c r="V87" s="11"/>
      <c r="W87" s="11"/>
      <c r="X87" s="11"/>
      <c r="Y87" s="11"/>
      <c r="Z87" s="11"/>
      <c r="AA87" s="11"/>
    </row>
    <row r="88" ht="15.75" customHeight="1">
      <c r="A88" s="11"/>
      <c r="B88" s="11"/>
      <c r="C88" s="12" t="s">
        <v>462</v>
      </c>
      <c r="D88" s="12" t="s">
        <v>464</v>
      </c>
      <c r="E88" s="11"/>
      <c r="F88" s="11"/>
      <c r="G88" s="11"/>
      <c r="H88" s="11"/>
      <c r="I88" s="12">
        <v>25.0</v>
      </c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ht="15.75" customHeight="1">
      <c r="A89" s="11"/>
      <c r="B89" s="11"/>
      <c r="C89" s="12" t="s">
        <v>462</v>
      </c>
      <c r="D89" s="12" t="s">
        <v>465</v>
      </c>
      <c r="E89" s="11"/>
      <c r="F89" s="11"/>
      <c r="G89" s="11"/>
      <c r="H89" s="11"/>
      <c r="I89" s="12">
        <v>375.0</v>
      </c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ht="15.75" customHeight="1">
      <c r="A90" s="11"/>
      <c r="B90" s="11"/>
      <c r="C90" s="12" t="s">
        <v>462</v>
      </c>
      <c r="D90" s="12" t="s">
        <v>466</v>
      </c>
      <c r="E90" s="11"/>
      <c r="F90" s="11"/>
      <c r="G90" s="11"/>
      <c r="H90" s="11"/>
      <c r="I90" s="12">
        <v>25.0</v>
      </c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ht="15.75" customHeight="1">
      <c r="A91" s="11"/>
      <c r="B91" s="11"/>
      <c r="C91" s="12" t="s">
        <v>467</v>
      </c>
      <c r="D91" s="12" t="s">
        <v>468</v>
      </c>
      <c r="E91" s="12">
        <v>72.0</v>
      </c>
      <c r="F91" s="12" t="s">
        <v>385</v>
      </c>
      <c r="G91" s="11"/>
      <c r="H91" s="11"/>
      <c r="I91" s="12">
        <v>100.0</v>
      </c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ht="15.75" customHeight="1">
      <c r="A92" s="11"/>
      <c r="B92" s="11"/>
      <c r="C92" s="12" t="s">
        <v>467</v>
      </c>
      <c r="D92" s="12" t="s">
        <v>469</v>
      </c>
      <c r="E92" s="12">
        <v>35.0</v>
      </c>
      <c r="F92" s="12" t="s">
        <v>385</v>
      </c>
      <c r="G92" s="11"/>
      <c r="H92" s="11"/>
      <c r="I92" s="12">
        <v>50.0</v>
      </c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ht="15.75" customHeight="1">
      <c r="A93" s="11"/>
      <c r="B93" s="11"/>
      <c r="C93" s="12" t="s">
        <v>467</v>
      </c>
      <c r="D93" s="12" t="s">
        <v>470</v>
      </c>
      <c r="E93" s="12">
        <v>18.0</v>
      </c>
      <c r="F93" s="12" t="s">
        <v>385</v>
      </c>
      <c r="G93" s="11"/>
      <c r="H93" s="11"/>
      <c r="I93" s="12">
        <v>50.0</v>
      </c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ht="15.75" customHeight="1">
      <c r="A94" s="11"/>
      <c r="B94" s="11"/>
      <c r="C94" s="12" t="s">
        <v>471</v>
      </c>
      <c r="D94" s="12" t="s">
        <v>472</v>
      </c>
      <c r="E94" s="12">
        <v>33.0</v>
      </c>
      <c r="F94" s="12" t="s">
        <v>385</v>
      </c>
      <c r="G94" s="11"/>
      <c r="H94" s="11"/>
      <c r="I94" s="12">
        <v>50.0</v>
      </c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ht="15.75" customHeight="1">
      <c r="A95" s="11"/>
      <c r="B95" s="11"/>
      <c r="C95" s="12" t="s">
        <v>471</v>
      </c>
      <c r="D95" s="12" t="s">
        <v>473</v>
      </c>
      <c r="E95" s="12">
        <v>20.0</v>
      </c>
      <c r="F95" s="12" t="s">
        <v>385</v>
      </c>
      <c r="G95" s="11"/>
      <c r="H95" s="11"/>
      <c r="I95" s="12">
        <v>35.0</v>
      </c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ht="15.75" customHeight="1">
      <c r="A96" s="11"/>
      <c r="B96" s="11"/>
      <c r="C96" s="12" t="s">
        <v>471</v>
      </c>
      <c r="D96" s="12" t="s">
        <v>474</v>
      </c>
      <c r="E96" s="12">
        <v>22.0</v>
      </c>
      <c r="F96" s="12" t="s">
        <v>385</v>
      </c>
      <c r="G96" s="11"/>
      <c r="H96" s="11"/>
      <c r="I96" s="12">
        <v>35.0</v>
      </c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ht="15.75" customHeight="1">
      <c r="A97" s="11"/>
      <c r="B97" s="11"/>
      <c r="C97" s="12" t="s">
        <v>471</v>
      </c>
      <c r="D97" s="12" t="s">
        <v>475</v>
      </c>
      <c r="E97" s="12">
        <v>20.0</v>
      </c>
      <c r="F97" s="12" t="s">
        <v>385</v>
      </c>
      <c r="G97" s="11"/>
      <c r="H97" s="11"/>
      <c r="I97" s="12">
        <v>35.0</v>
      </c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ht="15.75" customHeight="1">
      <c r="A98" s="11"/>
      <c r="B98" s="11"/>
      <c r="C98" s="12" t="s">
        <v>476</v>
      </c>
      <c r="D98" s="12" t="s">
        <v>477</v>
      </c>
      <c r="E98" s="12">
        <v>40.5</v>
      </c>
      <c r="F98" s="12" t="s">
        <v>385</v>
      </c>
      <c r="G98" s="11"/>
      <c r="H98" s="11"/>
      <c r="I98" s="12">
        <v>50.0</v>
      </c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ht="15.75" customHeight="1">
      <c r="A99" s="11"/>
      <c r="B99" s="11"/>
      <c r="C99" s="12" t="s">
        <v>476</v>
      </c>
      <c r="D99" s="12" t="s">
        <v>478</v>
      </c>
      <c r="E99" s="12">
        <v>40.5</v>
      </c>
      <c r="F99" s="12" t="s">
        <v>385</v>
      </c>
      <c r="G99" s="11"/>
      <c r="H99" s="11"/>
      <c r="I99" s="12">
        <v>50.0</v>
      </c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ht="15.75" customHeight="1">
      <c r="A100" s="11"/>
      <c r="B100" s="11"/>
      <c r="C100" s="12" t="s">
        <v>476</v>
      </c>
      <c r="D100" s="12" t="s">
        <v>479</v>
      </c>
      <c r="E100" s="12">
        <v>40.5</v>
      </c>
      <c r="F100" s="12" t="s">
        <v>385</v>
      </c>
      <c r="G100" s="11"/>
      <c r="H100" s="11"/>
      <c r="I100" s="12">
        <v>50.0</v>
      </c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ht="15.75" customHeight="1">
      <c r="A101" s="11"/>
      <c r="B101" s="11"/>
      <c r="C101" s="12" t="s">
        <v>476</v>
      </c>
      <c r="D101" s="12" t="s">
        <v>480</v>
      </c>
      <c r="E101" s="12">
        <v>40.5</v>
      </c>
      <c r="F101" s="12" t="s">
        <v>385</v>
      </c>
      <c r="G101" s="11"/>
      <c r="H101" s="11"/>
      <c r="I101" s="12">
        <v>50.0</v>
      </c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ht="15.75" customHeight="1">
      <c r="A102" s="11"/>
      <c r="B102" s="11"/>
      <c r="C102" s="12" t="s">
        <v>476</v>
      </c>
      <c r="D102" s="12" t="s">
        <v>481</v>
      </c>
      <c r="E102" s="12">
        <v>40.5</v>
      </c>
      <c r="F102" s="12" t="s">
        <v>385</v>
      </c>
      <c r="G102" s="11"/>
      <c r="H102" s="11"/>
      <c r="I102" s="12">
        <v>50.0</v>
      </c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ht="15.75" customHeight="1">
      <c r="A103" s="11"/>
      <c r="B103" s="11"/>
      <c r="C103" s="12" t="s">
        <v>476</v>
      </c>
      <c r="D103" s="12" t="s">
        <v>482</v>
      </c>
      <c r="E103" s="12">
        <v>40.5</v>
      </c>
      <c r="F103" s="12" t="s">
        <v>385</v>
      </c>
      <c r="G103" s="11"/>
      <c r="H103" s="11"/>
      <c r="I103" s="12">
        <v>50.0</v>
      </c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ht="15.75" customHeight="1">
      <c r="A104" s="11"/>
      <c r="B104" s="11"/>
      <c r="C104" s="12" t="s">
        <v>471</v>
      </c>
      <c r="D104" s="12" t="s">
        <v>483</v>
      </c>
      <c r="E104" s="12">
        <v>20.0</v>
      </c>
      <c r="F104" s="12" t="s">
        <v>385</v>
      </c>
      <c r="G104" s="11"/>
      <c r="H104" s="11"/>
      <c r="I104" s="12">
        <v>35.0</v>
      </c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ht="15.75" customHeight="1">
      <c r="A105" s="11"/>
      <c r="B105" s="11"/>
      <c r="C105" s="12" t="s">
        <v>471</v>
      </c>
      <c r="D105" s="12" t="s">
        <v>484</v>
      </c>
      <c r="E105" s="12">
        <v>20.0</v>
      </c>
      <c r="F105" s="12" t="s">
        <v>385</v>
      </c>
      <c r="G105" s="11"/>
      <c r="H105" s="11"/>
      <c r="I105" s="12">
        <v>35.0</v>
      </c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ht="15.75" customHeight="1">
      <c r="A106" s="11"/>
      <c r="B106" s="11"/>
      <c r="C106" s="12" t="s">
        <v>485</v>
      </c>
      <c r="D106" s="12" t="s">
        <v>486</v>
      </c>
      <c r="E106" s="12">
        <v>27.0</v>
      </c>
      <c r="F106" s="12" t="s">
        <v>385</v>
      </c>
      <c r="G106" s="11"/>
      <c r="H106" s="11"/>
      <c r="I106" s="12">
        <v>50.0</v>
      </c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ht="15.75" customHeight="1">
      <c r="A107" s="11"/>
      <c r="B107" s="11"/>
      <c r="C107" s="12" t="s">
        <v>487</v>
      </c>
      <c r="D107" s="12" t="s">
        <v>488</v>
      </c>
      <c r="E107" s="12">
        <v>14.0</v>
      </c>
      <c r="F107" s="12" t="s">
        <v>385</v>
      </c>
      <c r="G107" s="11"/>
      <c r="H107" s="11"/>
      <c r="I107" s="12">
        <v>40.0</v>
      </c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ht="15.75" customHeight="1">
      <c r="A108" s="11"/>
      <c r="B108" s="11"/>
      <c r="C108" s="12" t="s">
        <v>487</v>
      </c>
      <c r="D108" s="12" t="s">
        <v>489</v>
      </c>
      <c r="E108" s="12">
        <v>14.0</v>
      </c>
      <c r="F108" s="12" t="s">
        <v>385</v>
      </c>
      <c r="G108" s="11"/>
      <c r="H108" s="11"/>
      <c r="I108" s="12">
        <v>40.0</v>
      </c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ht="15.75" customHeight="1">
      <c r="A109" s="11"/>
      <c r="B109" s="11"/>
      <c r="C109" s="12" t="s">
        <v>490</v>
      </c>
      <c r="D109" s="12" t="s">
        <v>491</v>
      </c>
      <c r="E109" s="12">
        <v>10.0</v>
      </c>
      <c r="F109" s="12" t="s">
        <v>385</v>
      </c>
      <c r="G109" s="11"/>
      <c r="H109" s="11"/>
      <c r="I109" s="12">
        <v>40.0</v>
      </c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ht="15.75" customHeight="1">
      <c r="A110" s="11"/>
      <c r="B110" s="11"/>
      <c r="C110" s="12" t="s">
        <v>490</v>
      </c>
      <c r="D110" s="12" t="s">
        <v>492</v>
      </c>
      <c r="E110" s="12">
        <v>10.0</v>
      </c>
      <c r="F110" s="12" t="s">
        <v>385</v>
      </c>
      <c r="G110" s="11"/>
      <c r="H110" s="11"/>
      <c r="I110" s="12">
        <v>40.0</v>
      </c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ht="15.75" customHeight="1">
      <c r="A111" s="11"/>
      <c r="B111" s="11"/>
      <c r="C111" s="12" t="s">
        <v>490</v>
      </c>
      <c r="D111" s="12" t="s">
        <v>493</v>
      </c>
      <c r="E111" s="12">
        <v>10.0</v>
      </c>
      <c r="F111" s="12" t="s">
        <v>385</v>
      </c>
      <c r="G111" s="11"/>
      <c r="H111" s="11"/>
      <c r="I111" s="12">
        <v>40.0</v>
      </c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ht="15.75" customHeight="1">
      <c r="A112" s="11"/>
      <c r="B112" s="11"/>
      <c r="C112" s="12" t="s">
        <v>490</v>
      </c>
      <c r="D112" s="12" t="s">
        <v>494</v>
      </c>
      <c r="E112" s="12">
        <v>10.0</v>
      </c>
      <c r="F112" s="12" t="s">
        <v>385</v>
      </c>
      <c r="G112" s="11"/>
      <c r="H112" s="11"/>
      <c r="I112" s="12">
        <v>40.0</v>
      </c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ht="15.75" customHeight="1">
      <c r="A113" s="11"/>
      <c r="B113" s="11"/>
      <c r="C113" s="12" t="s">
        <v>495</v>
      </c>
      <c r="D113" s="12" t="s">
        <v>496</v>
      </c>
      <c r="E113" s="12">
        <v>15.0</v>
      </c>
      <c r="F113" s="12" t="s">
        <v>385</v>
      </c>
      <c r="G113" s="11"/>
      <c r="H113" s="11"/>
      <c r="I113" s="12">
        <v>40.0</v>
      </c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ht="15.75" customHeight="1">
      <c r="A114" s="11"/>
      <c r="B114" s="11"/>
      <c r="C114" s="12" t="s">
        <v>495</v>
      </c>
      <c r="D114" s="12" t="s">
        <v>497</v>
      </c>
      <c r="E114" s="12">
        <v>15.0</v>
      </c>
      <c r="F114" s="12" t="s">
        <v>385</v>
      </c>
      <c r="G114" s="11"/>
      <c r="H114" s="11"/>
      <c r="I114" s="12">
        <v>40.0</v>
      </c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ht="15.75" customHeight="1">
      <c r="A115" s="11"/>
      <c r="B115" s="11"/>
      <c r="C115" s="12" t="s">
        <v>495</v>
      </c>
      <c r="D115" s="12" t="s">
        <v>498</v>
      </c>
      <c r="E115" s="12">
        <v>15.0</v>
      </c>
      <c r="F115" s="12" t="s">
        <v>385</v>
      </c>
      <c r="G115" s="11"/>
      <c r="H115" s="11"/>
      <c r="I115" s="12">
        <v>40.0</v>
      </c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ht="15.75" customHeight="1">
      <c r="A116" s="11"/>
      <c r="B116" s="11"/>
      <c r="C116" s="12" t="s">
        <v>490</v>
      </c>
      <c r="D116" s="12" t="s">
        <v>499</v>
      </c>
      <c r="E116" s="12">
        <v>26.0</v>
      </c>
      <c r="F116" s="12" t="s">
        <v>385</v>
      </c>
      <c r="G116" s="11"/>
      <c r="H116" s="11"/>
      <c r="I116" s="12">
        <v>50.0</v>
      </c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ht="15.75" customHeight="1">
      <c r="A117" s="11"/>
      <c r="B117" s="11"/>
      <c r="C117" s="12" t="s">
        <v>500</v>
      </c>
      <c r="D117" s="12" t="s">
        <v>501</v>
      </c>
      <c r="E117" s="12">
        <v>32.0</v>
      </c>
      <c r="F117" s="12" t="s">
        <v>385</v>
      </c>
      <c r="G117" s="11"/>
      <c r="H117" s="11"/>
      <c r="I117" s="12">
        <v>50.0</v>
      </c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ht="15.75" customHeight="1">
      <c r="A118" s="11"/>
      <c r="B118" s="11"/>
      <c r="C118" s="12" t="s">
        <v>500</v>
      </c>
      <c r="D118" s="12" t="s">
        <v>502</v>
      </c>
      <c r="E118" s="12">
        <v>32.0</v>
      </c>
      <c r="F118" s="12" t="s">
        <v>385</v>
      </c>
      <c r="G118" s="11"/>
      <c r="H118" s="11"/>
      <c r="I118" s="12">
        <v>50.0</v>
      </c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ht="15.75" customHeight="1">
      <c r="A119" s="11"/>
      <c r="B119" s="11"/>
      <c r="C119" s="12" t="s">
        <v>503</v>
      </c>
      <c r="D119" s="12" t="s">
        <v>504</v>
      </c>
      <c r="E119" s="12">
        <v>21.0</v>
      </c>
      <c r="F119" s="12" t="s">
        <v>385</v>
      </c>
      <c r="G119" s="11"/>
      <c r="H119" s="11"/>
      <c r="I119" s="12">
        <v>50.0</v>
      </c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ht="15.75" customHeight="1">
      <c r="A120" s="11"/>
      <c r="B120" s="11"/>
      <c r="C120" s="12" t="s">
        <v>505</v>
      </c>
      <c r="D120" s="12" t="s">
        <v>506</v>
      </c>
      <c r="E120" s="12">
        <v>3.0</v>
      </c>
      <c r="F120" s="12" t="s">
        <v>385</v>
      </c>
      <c r="G120" s="11"/>
      <c r="H120" s="11"/>
      <c r="I120" s="12">
        <v>50.0</v>
      </c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ht="15.75" customHeight="1">
      <c r="A121" s="11"/>
      <c r="B121" s="11"/>
      <c r="C121" s="12" t="s">
        <v>505</v>
      </c>
      <c r="D121" s="12" t="s">
        <v>507</v>
      </c>
      <c r="E121" s="12">
        <v>3.2</v>
      </c>
      <c r="F121" s="12" t="s">
        <v>385</v>
      </c>
      <c r="G121" s="11"/>
      <c r="H121" s="11"/>
      <c r="I121" s="12">
        <v>50.0</v>
      </c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ht="15.75" customHeight="1">
      <c r="A122" s="11"/>
      <c r="B122" s="11"/>
      <c r="C122" s="12" t="s">
        <v>505</v>
      </c>
      <c r="D122" s="12" t="s">
        <v>508</v>
      </c>
      <c r="E122" s="12">
        <v>3.2</v>
      </c>
      <c r="F122" s="12" t="s">
        <v>385</v>
      </c>
      <c r="G122" s="11"/>
      <c r="H122" s="11"/>
      <c r="I122" s="12">
        <v>50.0</v>
      </c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ht="15.75" customHeight="1">
      <c r="A123" s="11"/>
      <c r="B123" s="11"/>
      <c r="C123" s="12" t="s">
        <v>505</v>
      </c>
      <c r="D123" s="12" t="s">
        <v>509</v>
      </c>
      <c r="E123" s="12">
        <v>3.2</v>
      </c>
      <c r="F123" s="12" t="s">
        <v>385</v>
      </c>
      <c r="G123" s="11"/>
      <c r="H123" s="11"/>
      <c r="I123" s="12">
        <v>50.0</v>
      </c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ht="15.75" customHeight="1">
      <c r="A124" s="11"/>
      <c r="B124" s="11"/>
      <c r="C124" s="12" t="s">
        <v>510</v>
      </c>
      <c r="D124" s="12" t="s">
        <v>511</v>
      </c>
      <c r="E124" s="12">
        <v>8.0</v>
      </c>
      <c r="F124" s="12" t="s">
        <v>385</v>
      </c>
      <c r="G124" s="11"/>
      <c r="H124" s="11"/>
      <c r="I124" s="12">
        <v>40.0</v>
      </c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ht="15.75" customHeight="1">
      <c r="A125" s="11"/>
      <c r="B125" s="11"/>
      <c r="C125" s="12" t="s">
        <v>510</v>
      </c>
      <c r="D125" s="12" t="s">
        <v>512</v>
      </c>
      <c r="E125" s="12">
        <v>8.0</v>
      </c>
      <c r="F125" s="12" t="s">
        <v>385</v>
      </c>
      <c r="G125" s="11"/>
      <c r="H125" s="11"/>
      <c r="I125" s="12">
        <v>40.0</v>
      </c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ht="15.75" customHeight="1">
      <c r="A126" s="11"/>
      <c r="B126" s="11"/>
      <c r="C126" s="12" t="s">
        <v>513</v>
      </c>
      <c r="D126" s="12" t="s">
        <v>514</v>
      </c>
      <c r="E126" s="12">
        <v>30.0</v>
      </c>
      <c r="F126" s="12" t="s">
        <v>385</v>
      </c>
      <c r="G126" s="11"/>
      <c r="H126" s="11"/>
      <c r="I126" s="12">
        <v>50.0</v>
      </c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ht="15.75" customHeight="1">
      <c r="A127" s="11"/>
      <c r="B127" s="11"/>
      <c r="C127" s="12" t="s">
        <v>515</v>
      </c>
      <c r="D127" s="12" t="s">
        <v>516</v>
      </c>
      <c r="E127" s="12">
        <v>276.0</v>
      </c>
      <c r="F127" s="12" t="s">
        <v>385</v>
      </c>
      <c r="G127" s="11"/>
      <c r="H127" s="11"/>
      <c r="I127" s="12">
        <v>50.0</v>
      </c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ht="15.75" customHeight="1">
      <c r="A128" s="11"/>
      <c r="B128" s="11"/>
      <c r="C128" s="12" t="s">
        <v>517</v>
      </c>
      <c r="D128" s="12" t="s">
        <v>518</v>
      </c>
      <c r="E128" s="12">
        <v>27.5</v>
      </c>
      <c r="F128" s="12" t="s">
        <v>385</v>
      </c>
      <c r="G128" s="11"/>
      <c r="H128" s="11"/>
      <c r="I128" s="12">
        <v>50.0</v>
      </c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ht="15.75" customHeight="1">
      <c r="A129" s="11"/>
      <c r="B129" s="11"/>
      <c r="C129" s="12" t="s">
        <v>519</v>
      </c>
      <c r="D129" s="12" t="s">
        <v>520</v>
      </c>
      <c r="E129" s="12">
        <v>27.6</v>
      </c>
      <c r="F129" s="12" t="s">
        <v>385</v>
      </c>
      <c r="G129" s="11"/>
      <c r="H129" s="11"/>
      <c r="I129" s="12">
        <v>50.0</v>
      </c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ht="15.75" customHeight="1">
      <c r="A130" s="11"/>
      <c r="B130" s="11"/>
      <c r="C130" s="12" t="s">
        <v>519</v>
      </c>
      <c r="D130" s="12" t="s">
        <v>521</v>
      </c>
      <c r="E130" s="12">
        <v>27.6</v>
      </c>
      <c r="F130" s="12" t="s">
        <v>385</v>
      </c>
      <c r="G130" s="11"/>
      <c r="H130" s="11"/>
      <c r="I130" s="12">
        <v>50.0</v>
      </c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ht="15.75" customHeight="1">
      <c r="A131" s="11"/>
      <c r="B131" s="11"/>
      <c r="C131" s="12" t="s">
        <v>515</v>
      </c>
      <c r="D131" s="12" t="s">
        <v>522</v>
      </c>
      <c r="E131" s="12">
        <v>10.0</v>
      </c>
      <c r="F131" s="12" t="s">
        <v>385</v>
      </c>
      <c r="G131" s="11"/>
      <c r="H131" s="11"/>
      <c r="I131" s="12">
        <v>50.0</v>
      </c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ht="15.75" customHeight="1">
      <c r="A132" s="11"/>
      <c r="B132" s="11"/>
      <c r="C132" s="12" t="s">
        <v>244</v>
      </c>
      <c r="D132" s="12" t="s">
        <v>523</v>
      </c>
      <c r="E132" s="12">
        <v>30.0</v>
      </c>
      <c r="F132" s="12" t="s">
        <v>385</v>
      </c>
      <c r="G132" s="11"/>
      <c r="H132" s="11"/>
      <c r="I132" s="12">
        <v>50.0</v>
      </c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ht="15.75" customHeight="1">
      <c r="A133" s="11"/>
      <c r="B133" s="11"/>
      <c r="C133" s="12" t="s">
        <v>524</v>
      </c>
      <c r="D133" s="12" t="s">
        <v>525</v>
      </c>
      <c r="E133" s="12">
        <v>27.0</v>
      </c>
      <c r="F133" s="12" t="s">
        <v>385</v>
      </c>
      <c r="G133" s="11"/>
      <c r="H133" s="11"/>
      <c r="I133" s="12">
        <v>50.0</v>
      </c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ht="15.75" customHeight="1">
      <c r="A134" s="11"/>
      <c r="B134" s="11"/>
      <c r="C134" s="12" t="s">
        <v>524</v>
      </c>
      <c r="D134" s="12" t="s">
        <v>526</v>
      </c>
      <c r="E134" s="12">
        <v>27.0</v>
      </c>
      <c r="F134" s="12" t="s">
        <v>385</v>
      </c>
      <c r="G134" s="11"/>
      <c r="H134" s="11"/>
      <c r="I134" s="12">
        <v>50.0</v>
      </c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ht="15.75" customHeight="1">
      <c r="A135" s="11"/>
      <c r="B135" s="11"/>
      <c r="C135" s="12" t="s">
        <v>527</v>
      </c>
      <c r="D135" s="12" t="s">
        <v>528</v>
      </c>
      <c r="E135" s="12">
        <v>20.0</v>
      </c>
      <c r="F135" s="12" t="s">
        <v>385</v>
      </c>
      <c r="G135" s="11"/>
      <c r="H135" s="11"/>
      <c r="I135" s="12">
        <v>50.0</v>
      </c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ht="15.75" customHeight="1">
      <c r="A136" s="11"/>
      <c r="B136" s="11"/>
      <c r="C136" s="12" t="s">
        <v>529</v>
      </c>
      <c r="D136" s="12" t="s">
        <v>530</v>
      </c>
      <c r="E136" s="12">
        <v>20.0</v>
      </c>
      <c r="F136" s="12" t="s">
        <v>385</v>
      </c>
      <c r="G136" s="11"/>
      <c r="H136" s="11"/>
      <c r="I136" s="12">
        <v>50.0</v>
      </c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ht="15.75" customHeight="1">
      <c r="A137" s="11"/>
      <c r="B137" s="11"/>
      <c r="C137" s="12" t="s">
        <v>531</v>
      </c>
      <c r="D137" s="12" t="s">
        <v>532</v>
      </c>
      <c r="E137" s="12">
        <v>36.0</v>
      </c>
      <c r="F137" s="12" t="s">
        <v>385</v>
      </c>
      <c r="G137" s="11"/>
      <c r="H137" s="11"/>
      <c r="I137" s="12">
        <v>50.0</v>
      </c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ht="15.75" customHeight="1">
      <c r="A138" s="11"/>
      <c r="B138" s="11"/>
      <c r="C138" s="12" t="s">
        <v>529</v>
      </c>
      <c r="D138" s="12" t="s">
        <v>533</v>
      </c>
      <c r="E138" s="12">
        <v>28.0</v>
      </c>
      <c r="F138" s="12" t="s">
        <v>385</v>
      </c>
      <c r="G138" s="11"/>
      <c r="H138" s="11"/>
      <c r="I138" s="12">
        <v>50.0</v>
      </c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ht="15.75" customHeight="1">
      <c r="A139" s="11"/>
      <c r="B139" s="11"/>
      <c r="C139" s="12" t="s">
        <v>534</v>
      </c>
      <c r="D139" s="12" t="s">
        <v>535</v>
      </c>
      <c r="E139" s="12">
        <v>23.5</v>
      </c>
      <c r="F139" s="12" t="s">
        <v>385</v>
      </c>
      <c r="G139" s="11"/>
      <c r="H139" s="11"/>
      <c r="I139" s="12">
        <v>50.0</v>
      </c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ht="15.75" customHeight="1">
      <c r="A140" s="11"/>
      <c r="B140" s="11"/>
      <c r="C140" s="12" t="s">
        <v>527</v>
      </c>
      <c r="D140" s="12" t="s">
        <v>536</v>
      </c>
      <c r="E140" s="12">
        <v>20.0</v>
      </c>
      <c r="F140" s="12" t="s">
        <v>385</v>
      </c>
      <c r="G140" s="11"/>
      <c r="H140" s="11"/>
      <c r="I140" s="12">
        <v>50.0</v>
      </c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ht="15.75" customHeight="1">
      <c r="A141" s="11"/>
      <c r="B141" s="11"/>
      <c r="C141" s="12" t="s">
        <v>537</v>
      </c>
      <c r="D141" s="12" t="s">
        <v>538</v>
      </c>
      <c r="E141" s="12">
        <v>46.0</v>
      </c>
      <c r="F141" s="12" t="s">
        <v>385</v>
      </c>
      <c r="G141" s="11"/>
      <c r="H141" s="11"/>
      <c r="I141" s="12">
        <v>50.0</v>
      </c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ht="15.75" customHeight="1">
      <c r="A142" s="11"/>
      <c r="B142" s="11"/>
      <c r="C142" s="12" t="s">
        <v>539</v>
      </c>
      <c r="D142" s="12" t="s">
        <v>540</v>
      </c>
      <c r="E142" s="12">
        <v>320.0</v>
      </c>
      <c r="F142" s="12" t="s">
        <v>385</v>
      </c>
      <c r="G142" s="11"/>
      <c r="H142" s="11"/>
      <c r="I142" s="12">
        <v>50.0</v>
      </c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</sheetData>
  <autoFilter ref="$A$1:$T$125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</row>
    <row r="2">
      <c r="A2" s="3" t="s">
        <v>2</v>
      </c>
    </row>
    <row r="3">
      <c r="A3" s="3" t="s">
        <v>3</v>
      </c>
    </row>
    <row r="4">
      <c r="A4" s="3" t="s">
        <v>4</v>
      </c>
    </row>
    <row r="5">
      <c r="A5" s="3" t="s">
        <v>5</v>
      </c>
    </row>
    <row r="6">
      <c r="A6" s="3" t="s">
        <v>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2" width="20.14"/>
    <col customWidth="1" min="3" max="3" width="51.57"/>
    <col customWidth="1" min="4" max="5" width="20.14"/>
    <col customWidth="1" min="6" max="6" width="51.57"/>
    <col customWidth="1" min="7" max="9" width="20.14"/>
    <col customWidth="1" min="10" max="10" width="60.14"/>
  </cols>
  <sheetData>
    <row r="1">
      <c r="A1" s="2" t="s">
        <v>1</v>
      </c>
      <c r="B1" s="4"/>
      <c r="C1" s="4"/>
      <c r="D1" s="4"/>
      <c r="E1" s="4"/>
      <c r="F1" s="4"/>
      <c r="G1" s="4"/>
      <c r="H1" s="4"/>
      <c r="I1" s="4"/>
      <c r="J1" s="4"/>
    </row>
    <row r="2">
      <c r="A2" s="5" t="s">
        <v>8</v>
      </c>
      <c r="B2" s="6">
        <v>46158.0</v>
      </c>
      <c r="C2" s="5" t="s">
        <v>9</v>
      </c>
      <c r="D2" s="5" t="s">
        <v>18</v>
      </c>
      <c r="E2" s="5" t="s">
        <v>20</v>
      </c>
    </row>
    <row r="3">
      <c r="A3" s="9" t="s">
        <v>16</v>
      </c>
      <c r="B3" s="9" t="s">
        <v>11</v>
      </c>
      <c r="C3" s="9" t="s">
        <v>12</v>
      </c>
      <c r="D3" s="9" t="s">
        <v>24</v>
      </c>
      <c r="E3" s="9" t="s">
        <v>17</v>
      </c>
      <c r="F3" s="9" t="s">
        <v>26</v>
      </c>
      <c r="G3" s="9" t="s">
        <v>27</v>
      </c>
      <c r="H3" s="9" t="s">
        <v>28</v>
      </c>
      <c r="I3" s="9" t="s">
        <v>30</v>
      </c>
      <c r="J3" s="9" t="s">
        <v>31</v>
      </c>
    </row>
    <row r="4">
      <c r="A4" s="5" t="s">
        <v>33</v>
      </c>
      <c r="B4" s="5" t="s">
        <v>34</v>
      </c>
      <c r="C4" s="5" t="s">
        <v>36</v>
      </c>
      <c r="D4" s="5" t="s">
        <v>37</v>
      </c>
      <c r="E4" s="10">
        <v>330.0</v>
      </c>
      <c r="F4" s="13" t="s">
        <v>40</v>
      </c>
      <c r="G4" s="5" t="s">
        <v>44</v>
      </c>
      <c r="H4" s="6">
        <v>46158.0</v>
      </c>
      <c r="I4" s="5" t="s">
        <v>45</v>
      </c>
      <c r="J4" s="5" t="s">
        <v>46</v>
      </c>
    </row>
    <row r="5">
      <c r="A5" s="5" t="s">
        <v>33</v>
      </c>
      <c r="B5" s="5" t="s">
        <v>34</v>
      </c>
      <c r="C5" s="5" t="s">
        <v>36</v>
      </c>
      <c r="D5" s="5" t="s">
        <v>49</v>
      </c>
      <c r="E5" s="10">
        <v>341.0</v>
      </c>
      <c r="F5" s="13" t="s">
        <v>50</v>
      </c>
      <c r="G5" s="5" t="s">
        <v>53</v>
      </c>
      <c r="H5" s="6">
        <v>46158.0</v>
      </c>
      <c r="I5" s="5" t="s">
        <v>54</v>
      </c>
      <c r="J5" s="5" t="s">
        <v>55</v>
      </c>
    </row>
    <row r="6">
      <c r="A6" s="5" t="s">
        <v>33</v>
      </c>
      <c r="B6" s="5" t="s">
        <v>34</v>
      </c>
      <c r="C6" s="5" t="s">
        <v>36</v>
      </c>
      <c r="D6" s="5" t="s">
        <v>56</v>
      </c>
      <c r="E6" s="15"/>
      <c r="F6" s="13" t="s">
        <v>57</v>
      </c>
      <c r="G6" s="5" t="s">
        <v>58</v>
      </c>
      <c r="H6" s="6">
        <v>46158.0</v>
      </c>
      <c r="I6" s="5" t="s">
        <v>59</v>
      </c>
      <c r="J6" s="5" t="s">
        <v>60</v>
      </c>
    </row>
    <row r="7">
      <c r="A7" s="5" t="s">
        <v>61</v>
      </c>
      <c r="B7" s="5" t="s">
        <v>34</v>
      </c>
      <c r="C7" s="5" t="s">
        <v>62</v>
      </c>
      <c r="D7" s="5" t="s">
        <v>37</v>
      </c>
      <c r="E7" s="10">
        <v>213.0</v>
      </c>
      <c r="F7" s="13" t="s">
        <v>63</v>
      </c>
      <c r="G7" s="5" t="s">
        <v>65</v>
      </c>
      <c r="H7" s="6">
        <v>46158.0</v>
      </c>
      <c r="I7" s="5" t="s">
        <v>45</v>
      </c>
      <c r="J7" s="5" t="s">
        <v>66</v>
      </c>
    </row>
    <row r="8">
      <c r="A8" s="5" t="s">
        <v>67</v>
      </c>
      <c r="B8" s="5" t="s">
        <v>34</v>
      </c>
      <c r="C8" s="5" t="s">
        <v>68</v>
      </c>
      <c r="D8" s="5" t="s">
        <v>56</v>
      </c>
      <c r="E8" s="10">
        <v>149.0</v>
      </c>
      <c r="F8" s="13" t="s">
        <v>69</v>
      </c>
      <c r="G8" s="5" t="s">
        <v>65</v>
      </c>
      <c r="H8" s="6">
        <v>46158.0</v>
      </c>
      <c r="I8" s="5" t="s">
        <v>45</v>
      </c>
      <c r="J8" s="5" t="s">
        <v>72</v>
      </c>
    </row>
    <row r="9">
      <c r="A9" s="5" t="s">
        <v>73</v>
      </c>
      <c r="B9" s="5" t="s">
        <v>34</v>
      </c>
      <c r="C9" s="5" t="s">
        <v>74</v>
      </c>
      <c r="D9" s="5" t="s">
        <v>49</v>
      </c>
      <c r="E9" s="10">
        <v>15.0</v>
      </c>
      <c r="F9" s="13" t="s">
        <v>75</v>
      </c>
      <c r="G9" s="5" t="s">
        <v>58</v>
      </c>
      <c r="H9" s="6">
        <v>46158.0</v>
      </c>
      <c r="I9" s="5" t="s">
        <v>54</v>
      </c>
      <c r="J9" s="5" t="s">
        <v>78</v>
      </c>
    </row>
    <row r="10">
      <c r="A10" s="5" t="s">
        <v>73</v>
      </c>
      <c r="B10" s="5" t="s">
        <v>34</v>
      </c>
      <c r="C10" s="5" t="s">
        <v>74</v>
      </c>
      <c r="D10" s="5" t="s">
        <v>56</v>
      </c>
      <c r="E10" s="10">
        <v>14.5</v>
      </c>
      <c r="F10" s="13" t="s">
        <v>81</v>
      </c>
      <c r="G10" s="5" t="s">
        <v>58</v>
      </c>
      <c r="H10" s="6">
        <v>46158.0</v>
      </c>
      <c r="I10" s="5" t="s">
        <v>54</v>
      </c>
      <c r="J10" s="5" t="s">
        <v>78</v>
      </c>
    </row>
    <row r="11">
      <c r="A11" s="5" t="s">
        <v>73</v>
      </c>
      <c r="B11" s="5" t="s">
        <v>34</v>
      </c>
      <c r="C11" s="5" t="s">
        <v>74</v>
      </c>
      <c r="D11" s="5" t="s">
        <v>37</v>
      </c>
      <c r="E11" s="10">
        <v>15.0</v>
      </c>
      <c r="F11" s="13" t="s">
        <v>84</v>
      </c>
      <c r="G11" s="5" t="s">
        <v>58</v>
      </c>
      <c r="H11" s="6">
        <v>46158.0</v>
      </c>
      <c r="I11" s="5" t="s">
        <v>54</v>
      </c>
      <c r="J11" s="5" t="s">
        <v>78</v>
      </c>
    </row>
    <row r="12">
      <c r="A12" s="5" t="s">
        <v>87</v>
      </c>
      <c r="B12" s="5" t="s">
        <v>34</v>
      </c>
      <c r="C12" s="5" t="s">
        <v>88</v>
      </c>
      <c r="D12" s="5" t="s">
        <v>49</v>
      </c>
      <c r="E12" s="10">
        <v>186.0</v>
      </c>
      <c r="F12" s="13" t="s">
        <v>90</v>
      </c>
      <c r="G12" s="5" t="s">
        <v>53</v>
      </c>
      <c r="H12" s="6">
        <v>46158.0</v>
      </c>
      <c r="I12" s="5" t="s">
        <v>45</v>
      </c>
      <c r="J12" s="5" t="s">
        <v>91</v>
      </c>
    </row>
    <row r="13">
      <c r="A13" s="5" t="s">
        <v>92</v>
      </c>
      <c r="B13" s="5" t="s">
        <v>34</v>
      </c>
      <c r="C13" s="5" t="s">
        <v>93</v>
      </c>
      <c r="D13" s="5" t="s">
        <v>37</v>
      </c>
      <c r="E13" s="10">
        <v>299.0</v>
      </c>
      <c r="F13" s="13" t="s">
        <v>40</v>
      </c>
      <c r="G13" s="5" t="s">
        <v>65</v>
      </c>
      <c r="H13" s="6">
        <v>46158.0</v>
      </c>
      <c r="I13" s="5" t="s">
        <v>45</v>
      </c>
      <c r="J13" s="5" t="s">
        <v>94</v>
      </c>
    </row>
    <row r="14">
      <c r="A14" s="5" t="s">
        <v>95</v>
      </c>
      <c r="B14" s="5" t="s">
        <v>96</v>
      </c>
      <c r="C14" s="5" t="s">
        <v>98</v>
      </c>
      <c r="D14" s="5" t="s">
        <v>37</v>
      </c>
      <c r="E14" s="10">
        <v>336.0</v>
      </c>
      <c r="F14" s="13" t="s">
        <v>99</v>
      </c>
      <c r="G14" s="5" t="s">
        <v>44</v>
      </c>
      <c r="H14" s="6">
        <v>46158.0</v>
      </c>
      <c r="I14" s="5" t="s">
        <v>45</v>
      </c>
      <c r="J14" s="5" t="s">
        <v>101</v>
      </c>
    </row>
    <row r="15">
      <c r="A15" s="5" t="s">
        <v>95</v>
      </c>
      <c r="B15" s="5" t="s">
        <v>96</v>
      </c>
      <c r="C15" s="5" t="s">
        <v>98</v>
      </c>
      <c r="D15" s="5" t="s">
        <v>49</v>
      </c>
      <c r="E15" s="10">
        <v>375.0</v>
      </c>
      <c r="F15" s="13" t="s">
        <v>102</v>
      </c>
      <c r="G15" s="5" t="s">
        <v>107</v>
      </c>
      <c r="H15" s="6">
        <v>46158.0</v>
      </c>
      <c r="I15" s="5" t="s">
        <v>45</v>
      </c>
      <c r="J15" s="5" t="s">
        <v>108</v>
      </c>
    </row>
    <row r="16">
      <c r="A16" s="5" t="s">
        <v>109</v>
      </c>
      <c r="B16" s="5" t="s">
        <v>96</v>
      </c>
      <c r="C16" s="5" t="s">
        <v>110</v>
      </c>
      <c r="D16" s="5" t="s">
        <v>37</v>
      </c>
      <c r="E16" s="10">
        <v>316.0</v>
      </c>
      <c r="F16" s="13" t="s">
        <v>99</v>
      </c>
      <c r="G16" s="5" t="s">
        <v>111</v>
      </c>
      <c r="H16" s="6">
        <v>46158.0</v>
      </c>
      <c r="I16" s="5" t="s">
        <v>45</v>
      </c>
      <c r="J16" s="5" t="s">
        <v>112</v>
      </c>
    </row>
    <row r="17">
      <c r="A17" s="5" t="s">
        <v>113</v>
      </c>
      <c r="B17" s="5" t="s">
        <v>96</v>
      </c>
      <c r="C17" s="5" t="s">
        <v>114</v>
      </c>
      <c r="D17" s="5" t="s">
        <v>49</v>
      </c>
      <c r="E17" s="10">
        <v>186.0</v>
      </c>
      <c r="F17" s="13" t="s">
        <v>115</v>
      </c>
      <c r="G17" s="5" t="s">
        <v>107</v>
      </c>
      <c r="H17" s="6">
        <v>46158.0</v>
      </c>
      <c r="I17" s="5" t="s">
        <v>45</v>
      </c>
      <c r="J17" s="5" t="s">
        <v>118</v>
      </c>
    </row>
    <row r="18">
      <c r="A18" s="5" t="s">
        <v>119</v>
      </c>
      <c r="B18" s="5" t="s">
        <v>96</v>
      </c>
      <c r="C18" s="5" t="s">
        <v>120</v>
      </c>
      <c r="D18" s="5" t="s">
        <v>37</v>
      </c>
      <c r="E18" s="10">
        <v>299.0</v>
      </c>
      <c r="F18" s="13" t="s">
        <v>121</v>
      </c>
      <c r="G18" s="5" t="s">
        <v>65</v>
      </c>
      <c r="H18" s="6">
        <v>46158.0</v>
      </c>
      <c r="I18" s="5" t="s">
        <v>45</v>
      </c>
      <c r="J18" s="5" t="s">
        <v>123</v>
      </c>
    </row>
    <row r="19">
      <c r="A19" s="5" t="s">
        <v>124</v>
      </c>
      <c r="B19" s="5" t="s">
        <v>125</v>
      </c>
      <c r="C19" s="5" t="s">
        <v>126</v>
      </c>
      <c r="D19" s="5" t="s">
        <v>49</v>
      </c>
      <c r="E19" s="10">
        <v>20.0</v>
      </c>
      <c r="F19" s="13" t="s">
        <v>127</v>
      </c>
      <c r="G19" s="5" t="s">
        <v>58</v>
      </c>
      <c r="H19" s="6">
        <v>46158.0</v>
      </c>
      <c r="I19" s="5" t="s">
        <v>54</v>
      </c>
      <c r="J19" s="5" t="s">
        <v>78</v>
      </c>
    </row>
    <row r="20">
      <c r="A20" s="5" t="s">
        <v>124</v>
      </c>
      <c r="B20" s="5" t="s">
        <v>125</v>
      </c>
      <c r="C20" s="5" t="s">
        <v>126</v>
      </c>
      <c r="D20" s="5" t="s">
        <v>56</v>
      </c>
      <c r="E20" s="10">
        <v>19.0</v>
      </c>
      <c r="F20" s="13" t="s">
        <v>129</v>
      </c>
      <c r="G20" s="5" t="s">
        <v>58</v>
      </c>
      <c r="H20" s="6">
        <v>46158.0</v>
      </c>
      <c r="I20" s="5" t="s">
        <v>54</v>
      </c>
      <c r="J20" s="5" t="s">
        <v>78</v>
      </c>
    </row>
    <row r="21">
      <c r="A21" s="5" t="s">
        <v>124</v>
      </c>
      <c r="B21" s="5" t="s">
        <v>125</v>
      </c>
      <c r="C21" s="5" t="s">
        <v>126</v>
      </c>
      <c r="D21" s="5" t="s">
        <v>37</v>
      </c>
      <c r="E21" s="10">
        <v>20.0</v>
      </c>
      <c r="F21" s="13" t="s">
        <v>132</v>
      </c>
      <c r="G21" s="5" t="s">
        <v>58</v>
      </c>
      <c r="H21" s="6">
        <v>46158.0</v>
      </c>
      <c r="I21" s="5" t="s">
        <v>54</v>
      </c>
      <c r="J21" s="5" t="s">
        <v>78</v>
      </c>
    </row>
    <row r="22">
      <c r="A22" s="5" t="s">
        <v>135</v>
      </c>
      <c r="B22" s="5" t="s">
        <v>136</v>
      </c>
      <c r="C22" s="5" t="s">
        <v>137</v>
      </c>
      <c r="D22" s="5" t="s">
        <v>37</v>
      </c>
      <c r="E22" s="10">
        <v>62.0</v>
      </c>
      <c r="F22" s="13" t="s">
        <v>138</v>
      </c>
      <c r="G22" s="5" t="s">
        <v>139</v>
      </c>
      <c r="H22" s="6">
        <v>46158.0</v>
      </c>
      <c r="I22" s="5" t="s">
        <v>54</v>
      </c>
      <c r="J22" s="5" t="s">
        <v>141</v>
      </c>
    </row>
    <row r="23">
      <c r="A23" s="5" t="s">
        <v>135</v>
      </c>
      <c r="B23" s="5" t="s">
        <v>136</v>
      </c>
      <c r="C23" s="5" t="s">
        <v>137</v>
      </c>
      <c r="D23" s="5" t="s">
        <v>49</v>
      </c>
      <c r="E23" s="10">
        <v>55.0</v>
      </c>
      <c r="F23" s="13" t="s">
        <v>143</v>
      </c>
      <c r="G23" s="5" t="s">
        <v>53</v>
      </c>
      <c r="H23" s="6">
        <v>46158.0</v>
      </c>
      <c r="I23" s="5" t="s">
        <v>54</v>
      </c>
      <c r="J23" s="5" t="s">
        <v>145</v>
      </c>
    </row>
    <row r="24">
      <c r="A24" s="5" t="s">
        <v>135</v>
      </c>
      <c r="B24" s="5" t="s">
        <v>136</v>
      </c>
      <c r="C24" s="5" t="s">
        <v>137</v>
      </c>
      <c r="D24" s="5" t="s">
        <v>56</v>
      </c>
      <c r="E24" s="10">
        <v>47.0</v>
      </c>
      <c r="F24" s="13" t="s">
        <v>146</v>
      </c>
      <c r="G24" s="5" t="s">
        <v>148</v>
      </c>
      <c r="H24" s="6">
        <v>46158.0</v>
      </c>
      <c r="I24" s="5" t="s">
        <v>54</v>
      </c>
      <c r="J24" s="5" t="s">
        <v>150</v>
      </c>
    </row>
    <row r="25">
      <c r="A25" s="5" t="s">
        <v>151</v>
      </c>
      <c r="B25" s="5" t="s">
        <v>136</v>
      </c>
      <c r="C25" s="5" t="s">
        <v>152</v>
      </c>
      <c r="D25" s="5" t="s">
        <v>37</v>
      </c>
      <c r="E25" s="10">
        <v>62.0</v>
      </c>
      <c r="F25" s="13" t="s">
        <v>138</v>
      </c>
      <c r="G25" s="5" t="s">
        <v>139</v>
      </c>
      <c r="H25" s="6">
        <v>46158.0</v>
      </c>
      <c r="I25" s="5" t="s">
        <v>45</v>
      </c>
      <c r="J25" s="5" t="s">
        <v>153</v>
      </c>
    </row>
    <row r="26">
      <c r="A26" s="5" t="s">
        <v>151</v>
      </c>
      <c r="B26" s="5" t="s">
        <v>136</v>
      </c>
      <c r="C26" s="5" t="s">
        <v>152</v>
      </c>
      <c r="D26" s="5" t="s">
        <v>56</v>
      </c>
      <c r="E26" s="10">
        <v>47.0</v>
      </c>
      <c r="F26" s="13" t="s">
        <v>146</v>
      </c>
      <c r="G26" s="5" t="s">
        <v>148</v>
      </c>
      <c r="H26" s="6">
        <v>46158.0</v>
      </c>
      <c r="I26" s="5" t="s">
        <v>45</v>
      </c>
      <c r="J26" s="5" t="s">
        <v>154</v>
      </c>
    </row>
    <row r="27">
      <c r="A27" s="5" t="s">
        <v>155</v>
      </c>
      <c r="B27" s="5" t="s">
        <v>156</v>
      </c>
      <c r="C27" s="5" t="s">
        <v>157</v>
      </c>
      <c r="D27" s="5" t="s">
        <v>37</v>
      </c>
      <c r="E27" s="10">
        <v>55.0</v>
      </c>
      <c r="F27" s="13" t="s">
        <v>159</v>
      </c>
      <c r="G27" s="5" t="s">
        <v>53</v>
      </c>
      <c r="H27" s="6">
        <v>46158.0</v>
      </c>
      <c r="I27" s="5" t="s">
        <v>54</v>
      </c>
      <c r="J27" s="5" t="s">
        <v>162</v>
      </c>
    </row>
    <row r="28">
      <c r="A28" s="5" t="s">
        <v>155</v>
      </c>
      <c r="B28" s="5" t="s">
        <v>156</v>
      </c>
      <c r="C28" s="5" t="s">
        <v>157</v>
      </c>
      <c r="D28" s="5" t="s">
        <v>49</v>
      </c>
      <c r="E28" s="10">
        <v>55.0</v>
      </c>
      <c r="F28" s="13" t="s">
        <v>163</v>
      </c>
      <c r="G28" s="5" t="s">
        <v>53</v>
      </c>
      <c r="H28" s="6">
        <v>46158.0</v>
      </c>
      <c r="I28" s="5" t="s">
        <v>54</v>
      </c>
      <c r="J28" s="5" t="s">
        <v>167</v>
      </c>
    </row>
    <row r="29">
      <c r="A29" s="5" t="s">
        <v>155</v>
      </c>
      <c r="B29" s="5" t="s">
        <v>156</v>
      </c>
      <c r="C29" s="5" t="s">
        <v>157</v>
      </c>
      <c r="D29" s="5" t="s">
        <v>56</v>
      </c>
      <c r="E29" s="10">
        <v>49.0</v>
      </c>
      <c r="F29" s="13" t="s">
        <v>168</v>
      </c>
      <c r="G29" s="5" t="s">
        <v>53</v>
      </c>
      <c r="H29" s="6">
        <v>46158.0</v>
      </c>
      <c r="I29" s="5" t="s">
        <v>54</v>
      </c>
      <c r="J29" s="5" t="s">
        <v>169</v>
      </c>
    </row>
    <row r="30">
      <c r="A30" s="5" t="s">
        <v>170</v>
      </c>
      <c r="B30" s="5" t="s">
        <v>156</v>
      </c>
      <c r="C30" s="5" t="s">
        <v>171</v>
      </c>
      <c r="D30" s="5" t="s">
        <v>37</v>
      </c>
      <c r="E30" s="10">
        <v>83.0</v>
      </c>
      <c r="F30" s="13" t="s">
        <v>172</v>
      </c>
      <c r="G30" s="5" t="s">
        <v>174</v>
      </c>
      <c r="H30" s="6">
        <v>46158.0</v>
      </c>
      <c r="I30" s="5" t="s">
        <v>45</v>
      </c>
      <c r="J30" s="5" t="s">
        <v>175</v>
      </c>
    </row>
    <row r="31">
      <c r="A31" s="5" t="s">
        <v>170</v>
      </c>
      <c r="B31" s="5" t="s">
        <v>156</v>
      </c>
      <c r="C31" s="5" t="s">
        <v>171</v>
      </c>
      <c r="D31" s="5" t="s">
        <v>56</v>
      </c>
      <c r="E31" s="10">
        <v>83.0</v>
      </c>
      <c r="F31" s="13" t="s">
        <v>177</v>
      </c>
      <c r="G31" s="5" t="s">
        <v>174</v>
      </c>
      <c r="H31" s="6">
        <v>46158.0</v>
      </c>
      <c r="I31" s="5" t="s">
        <v>45</v>
      </c>
      <c r="J31" s="5" t="s">
        <v>179</v>
      </c>
    </row>
    <row r="33">
      <c r="A33" s="5" t="s">
        <v>180</v>
      </c>
      <c r="B33" s="5" t="s">
        <v>181</v>
      </c>
      <c r="C33" s="5" t="s">
        <v>182</v>
      </c>
      <c r="D33" s="5" t="s">
        <v>183</v>
      </c>
    </row>
    <row r="34">
      <c r="A34" s="5">
        <v>1.0</v>
      </c>
      <c r="B34" s="5" t="s">
        <v>184</v>
      </c>
      <c r="C34" s="5" t="s">
        <v>185</v>
      </c>
      <c r="D34" s="5" t="s">
        <v>186</v>
      </c>
    </row>
    <row r="35">
      <c r="A35" s="5">
        <v>2.0</v>
      </c>
      <c r="B35" s="5" t="s">
        <v>187</v>
      </c>
      <c r="C35" s="5" t="s">
        <v>185</v>
      </c>
      <c r="D35" s="5" t="s">
        <v>189</v>
      </c>
    </row>
    <row r="36">
      <c r="A36" s="5">
        <v>3.0</v>
      </c>
      <c r="B36" s="5" t="s">
        <v>190</v>
      </c>
      <c r="C36" s="5" t="s">
        <v>185</v>
      </c>
      <c r="D36" s="5" t="s">
        <v>191</v>
      </c>
    </row>
    <row r="37">
      <c r="A37" s="20" t="s">
        <v>192</v>
      </c>
      <c r="B37" s="21">
        <v>46174.0</v>
      </c>
      <c r="C37" s="20" t="s">
        <v>195</v>
      </c>
      <c r="D37" s="22"/>
      <c r="E37" s="22"/>
      <c r="F37" s="22"/>
      <c r="G37" s="22"/>
      <c r="H37" s="22"/>
      <c r="I37" s="22"/>
      <c r="J37" s="22"/>
    </row>
    <row r="38">
      <c r="A38" s="20" t="s">
        <v>16</v>
      </c>
      <c r="B38" s="20" t="s">
        <v>11</v>
      </c>
      <c r="C38" s="20" t="s">
        <v>12</v>
      </c>
      <c r="D38" s="20" t="s">
        <v>24</v>
      </c>
      <c r="E38" s="20" t="s">
        <v>17</v>
      </c>
      <c r="F38" s="20" t="s">
        <v>26</v>
      </c>
      <c r="G38" s="20" t="s">
        <v>27</v>
      </c>
      <c r="H38" s="20" t="s">
        <v>28</v>
      </c>
      <c r="I38" s="20" t="s">
        <v>30</v>
      </c>
      <c r="J38" s="20" t="s">
        <v>31</v>
      </c>
    </row>
    <row r="39">
      <c r="A39" s="5" t="s">
        <v>196</v>
      </c>
      <c r="B39" s="5" t="s">
        <v>197</v>
      </c>
      <c r="C39" s="5" t="s">
        <v>198</v>
      </c>
      <c r="D39" s="5" t="s">
        <v>199</v>
      </c>
      <c r="F39" s="5" t="s">
        <v>200</v>
      </c>
      <c r="G39" s="5" t="s">
        <v>201</v>
      </c>
      <c r="H39" s="6">
        <v>46174.0</v>
      </c>
      <c r="I39" s="5" t="s">
        <v>202</v>
      </c>
      <c r="J39" s="5" t="s">
        <v>203</v>
      </c>
    </row>
    <row r="40">
      <c r="A40" s="5" t="s">
        <v>204</v>
      </c>
      <c r="B40" s="5" t="s">
        <v>197</v>
      </c>
      <c r="C40" s="5" t="s">
        <v>205</v>
      </c>
      <c r="D40" s="5" t="s">
        <v>199</v>
      </c>
      <c r="F40" s="5" t="s">
        <v>200</v>
      </c>
      <c r="G40" s="5" t="s">
        <v>201</v>
      </c>
      <c r="H40" s="6">
        <v>46174.0</v>
      </c>
      <c r="I40" s="5" t="s">
        <v>202</v>
      </c>
      <c r="J40" s="5" t="s">
        <v>203</v>
      </c>
    </row>
    <row r="41">
      <c r="A41" s="5" t="s">
        <v>209</v>
      </c>
      <c r="B41" s="5" t="s">
        <v>197</v>
      </c>
      <c r="C41" s="5" t="s">
        <v>211</v>
      </c>
      <c r="D41" s="5" t="s">
        <v>199</v>
      </c>
      <c r="F41" s="5" t="s">
        <v>200</v>
      </c>
      <c r="G41" s="5" t="s">
        <v>201</v>
      </c>
      <c r="H41" s="6">
        <v>46174.0</v>
      </c>
      <c r="I41" s="5" t="s">
        <v>202</v>
      </c>
      <c r="J41" s="5" t="s">
        <v>203</v>
      </c>
    </row>
    <row r="42">
      <c r="A42" s="5" t="s">
        <v>213</v>
      </c>
      <c r="B42" s="5" t="s">
        <v>197</v>
      </c>
      <c r="C42" s="5" t="s">
        <v>214</v>
      </c>
      <c r="D42" s="5" t="s">
        <v>199</v>
      </c>
      <c r="F42" s="5" t="s">
        <v>200</v>
      </c>
      <c r="G42" s="5" t="s">
        <v>201</v>
      </c>
      <c r="H42" s="6">
        <v>46174.0</v>
      </c>
      <c r="I42" s="5" t="s">
        <v>202</v>
      </c>
      <c r="J42" s="5" t="s">
        <v>203</v>
      </c>
    </row>
    <row r="43">
      <c r="A43" s="5" t="s">
        <v>215</v>
      </c>
      <c r="B43" s="5" t="s">
        <v>197</v>
      </c>
      <c r="C43" s="5" t="s">
        <v>216</v>
      </c>
      <c r="D43" s="5" t="s">
        <v>199</v>
      </c>
      <c r="F43" s="5" t="s">
        <v>200</v>
      </c>
      <c r="G43" s="5" t="s">
        <v>201</v>
      </c>
      <c r="H43" s="6">
        <v>46174.0</v>
      </c>
      <c r="I43" s="5" t="s">
        <v>202</v>
      </c>
      <c r="J43" s="5" t="s">
        <v>203</v>
      </c>
    </row>
    <row r="44">
      <c r="A44" s="5" t="s">
        <v>217</v>
      </c>
      <c r="B44" s="5" t="s">
        <v>197</v>
      </c>
      <c r="C44" s="5" t="s">
        <v>218</v>
      </c>
      <c r="D44" s="5" t="s">
        <v>199</v>
      </c>
      <c r="F44" s="5" t="s">
        <v>200</v>
      </c>
      <c r="G44" s="5" t="s">
        <v>201</v>
      </c>
      <c r="H44" s="6">
        <v>46174.0</v>
      </c>
      <c r="I44" s="5" t="s">
        <v>202</v>
      </c>
      <c r="J44" s="5" t="s">
        <v>203</v>
      </c>
    </row>
    <row r="45">
      <c r="A45" s="5" t="s">
        <v>220</v>
      </c>
      <c r="B45" s="5" t="s">
        <v>197</v>
      </c>
      <c r="C45" s="5" t="s">
        <v>222</v>
      </c>
      <c r="D45" s="5" t="s">
        <v>199</v>
      </c>
      <c r="F45" s="5" t="s">
        <v>200</v>
      </c>
      <c r="G45" s="5" t="s">
        <v>201</v>
      </c>
      <c r="H45" s="6">
        <v>46174.0</v>
      </c>
      <c r="I45" s="5" t="s">
        <v>202</v>
      </c>
      <c r="J45" s="5" t="s">
        <v>203</v>
      </c>
    </row>
    <row r="46">
      <c r="A46" s="5" t="s">
        <v>225</v>
      </c>
      <c r="B46" s="5" t="s">
        <v>197</v>
      </c>
      <c r="C46" s="5" t="s">
        <v>226</v>
      </c>
      <c r="D46" s="5" t="s">
        <v>199</v>
      </c>
      <c r="F46" s="5" t="s">
        <v>200</v>
      </c>
      <c r="G46" s="5" t="s">
        <v>201</v>
      </c>
      <c r="H46" s="6">
        <v>46174.0</v>
      </c>
      <c r="I46" s="5" t="s">
        <v>202</v>
      </c>
      <c r="J46" s="5" t="s">
        <v>227</v>
      </c>
    </row>
    <row r="47">
      <c r="A47" s="5" t="s">
        <v>228</v>
      </c>
      <c r="B47" s="5" t="s">
        <v>197</v>
      </c>
      <c r="C47" s="5" t="s">
        <v>229</v>
      </c>
      <c r="D47" s="5" t="s">
        <v>199</v>
      </c>
      <c r="F47" s="5" t="s">
        <v>200</v>
      </c>
      <c r="G47" s="5" t="s">
        <v>201</v>
      </c>
      <c r="H47" s="6">
        <v>46174.0</v>
      </c>
      <c r="I47" s="5" t="s">
        <v>202</v>
      </c>
      <c r="J47" s="5" t="s">
        <v>203</v>
      </c>
    </row>
    <row r="48">
      <c r="A48" s="5" t="s">
        <v>230</v>
      </c>
      <c r="B48" s="5" t="s">
        <v>221</v>
      </c>
      <c r="C48" s="5" t="s">
        <v>231</v>
      </c>
      <c r="D48" s="5" t="s">
        <v>199</v>
      </c>
      <c r="F48" s="5" t="s">
        <v>200</v>
      </c>
      <c r="G48" s="5" t="s">
        <v>201</v>
      </c>
      <c r="H48" s="6">
        <v>46174.0</v>
      </c>
      <c r="I48" s="5" t="s">
        <v>202</v>
      </c>
      <c r="J48" s="5" t="s">
        <v>203</v>
      </c>
    </row>
    <row r="49">
      <c r="A49" s="5" t="s">
        <v>234</v>
      </c>
      <c r="B49" s="5" t="s">
        <v>221</v>
      </c>
      <c r="C49" s="5" t="s">
        <v>233</v>
      </c>
      <c r="D49" s="5" t="s">
        <v>199</v>
      </c>
      <c r="F49" s="5" t="s">
        <v>200</v>
      </c>
      <c r="G49" s="5" t="s">
        <v>201</v>
      </c>
      <c r="H49" s="6">
        <v>46174.0</v>
      </c>
      <c r="I49" s="5" t="s">
        <v>202</v>
      </c>
      <c r="J49" s="5" t="s">
        <v>203</v>
      </c>
    </row>
    <row r="50">
      <c r="A50" s="5" t="s">
        <v>224</v>
      </c>
      <c r="B50" s="5" t="s">
        <v>221</v>
      </c>
      <c r="C50" s="5" t="s">
        <v>223</v>
      </c>
      <c r="D50" s="5" t="s">
        <v>199</v>
      </c>
      <c r="F50" s="5" t="s">
        <v>200</v>
      </c>
      <c r="G50" s="5" t="s">
        <v>201</v>
      </c>
      <c r="H50" s="6">
        <v>46174.0</v>
      </c>
      <c r="I50" s="5" t="s">
        <v>202</v>
      </c>
      <c r="J50" s="5" t="s">
        <v>203</v>
      </c>
    </row>
    <row r="51">
      <c r="A51" s="5" t="s">
        <v>235</v>
      </c>
      <c r="B51" s="5" t="s">
        <v>221</v>
      </c>
      <c r="C51" s="5" t="s">
        <v>236</v>
      </c>
      <c r="D51" s="5" t="s">
        <v>199</v>
      </c>
      <c r="F51" s="5" t="s">
        <v>200</v>
      </c>
      <c r="G51" s="5" t="s">
        <v>201</v>
      </c>
      <c r="H51" s="6">
        <v>46174.0</v>
      </c>
      <c r="I51" s="5" t="s">
        <v>202</v>
      </c>
      <c r="J51" s="5" t="s">
        <v>203</v>
      </c>
    </row>
    <row r="52">
      <c r="A52" s="5" t="s">
        <v>237</v>
      </c>
      <c r="B52" s="5" t="s">
        <v>238</v>
      </c>
      <c r="C52" s="5" t="s">
        <v>239</v>
      </c>
      <c r="D52" s="5" t="s">
        <v>199</v>
      </c>
      <c r="F52" s="5" t="s">
        <v>200</v>
      </c>
      <c r="G52" s="5" t="s">
        <v>201</v>
      </c>
      <c r="H52" s="6">
        <v>46174.0</v>
      </c>
      <c r="I52" s="5" t="s">
        <v>202</v>
      </c>
      <c r="J52" s="5" t="s">
        <v>203</v>
      </c>
    </row>
    <row r="53">
      <c r="A53" s="5" t="s">
        <v>241</v>
      </c>
      <c r="B53" s="5" t="s">
        <v>238</v>
      </c>
      <c r="C53" s="5" t="s">
        <v>242</v>
      </c>
      <c r="D53" s="5" t="s">
        <v>199</v>
      </c>
      <c r="F53" s="5" t="s">
        <v>200</v>
      </c>
      <c r="G53" s="5" t="s">
        <v>201</v>
      </c>
      <c r="H53" s="6">
        <v>46174.0</v>
      </c>
      <c r="I53" s="5" t="s">
        <v>202</v>
      </c>
      <c r="J53" s="5" t="s">
        <v>203</v>
      </c>
    </row>
    <row r="54">
      <c r="A54" s="5" t="s">
        <v>243</v>
      </c>
      <c r="B54" s="5" t="s">
        <v>244</v>
      </c>
      <c r="C54" s="5" t="s">
        <v>245</v>
      </c>
      <c r="D54" s="5" t="s">
        <v>199</v>
      </c>
      <c r="F54" s="5" t="s">
        <v>200</v>
      </c>
      <c r="G54" s="5" t="s">
        <v>201</v>
      </c>
      <c r="H54" s="6">
        <v>46174.0</v>
      </c>
      <c r="I54" s="5" t="s">
        <v>202</v>
      </c>
      <c r="J54" s="5" t="s">
        <v>246</v>
      </c>
    </row>
    <row r="55">
      <c r="A55" s="5" t="s">
        <v>247</v>
      </c>
      <c r="B55" s="5" t="s">
        <v>244</v>
      </c>
      <c r="C55" s="5" t="s">
        <v>248</v>
      </c>
      <c r="D55" s="5" t="s">
        <v>199</v>
      </c>
      <c r="F55" s="5" t="s">
        <v>200</v>
      </c>
      <c r="G55" s="5" t="s">
        <v>201</v>
      </c>
      <c r="H55" s="6">
        <v>46174.0</v>
      </c>
      <c r="I55" s="5" t="s">
        <v>202</v>
      </c>
      <c r="J55" s="5" t="s">
        <v>246</v>
      </c>
    </row>
    <row r="56">
      <c r="A56" s="5" t="s">
        <v>249</v>
      </c>
      <c r="B56" s="5" t="s">
        <v>250</v>
      </c>
      <c r="C56" s="5" t="s">
        <v>251</v>
      </c>
      <c r="D56" s="5" t="s">
        <v>199</v>
      </c>
      <c r="F56" s="5" t="s">
        <v>200</v>
      </c>
      <c r="G56" s="5" t="s">
        <v>201</v>
      </c>
      <c r="H56" s="6">
        <v>46174.0</v>
      </c>
      <c r="I56" s="5" t="s">
        <v>202</v>
      </c>
      <c r="J56" s="5" t="s">
        <v>203</v>
      </c>
    </row>
    <row r="57">
      <c r="A57" s="5" t="s">
        <v>252</v>
      </c>
      <c r="B57" s="5" t="s">
        <v>250</v>
      </c>
      <c r="C57" s="5" t="s">
        <v>253</v>
      </c>
      <c r="D57" s="5" t="s">
        <v>199</v>
      </c>
      <c r="F57" s="5" t="s">
        <v>200</v>
      </c>
      <c r="G57" s="5" t="s">
        <v>201</v>
      </c>
      <c r="H57" s="6">
        <v>46174.0</v>
      </c>
      <c r="I57" s="5" t="s">
        <v>202</v>
      </c>
      <c r="J57" s="5" t="s">
        <v>254</v>
      </c>
    </row>
    <row r="58">
      <c r="A58" s="5" t="s">
        <v>255</v>
      </c>
      <c r="B58" s="5" t="s">
        <v>256</v>
      </c>
      <c r="C58" s="5" t="s">
        <v>257</v>
      </c>
      <c r="D58" s="5" t="s">
        <v>199</v>
      </c>
      <c r="F58" s="5" t="s">
        <v>200</v>
      </c>
      <c r="G58" s="5" t="s">
        <v>201</v>
      </c>
      <c r="H58" s="6">
        <v>46174.0</v>
      </c>
      <c r="I58" s="5" t="s">
        <v>202</v>
      </c>
      <c r="J58" s="5" t="s">
        <v>203</v>
      </c>
    </row>
    <row r="59">
      <c r="A59" s="5" t="s">
        <v>258</v>
      </c>
      <c r="B59" s="5" t="s">
        <v>256</v>
      </c>
      <c r="C59" s="5" t="s">
        <v>259</v>
      </c>
      <c r="D59" s="5" t="s">
        <v>199</v>
      </c>
      <c r="F59" s="5" t="s">
        <v>200</v>
      </c>
      <c r="G59" s="5" t="s">
        <v>201</v>
      </c>
      <c r="H59" s="6">
        <v>46174.0</v>
      </c>
      <c r="I59" s="5" t="s">
        <v>202</v>
      </c>
      <c r="J59" s="5" t="s">
        <v>203</v>
      </c>
    </row>
    <row r="60">
      <c r="A60" s="5" t="s">
        <v>260</v>
      </c>
      <c r="B60" s="5" t="s">
        <v>256</v>
      </c>
      <c r="C60" s="5" t="s">
        <v>261</v>
      </c>
      <c r="D60" s="5" t="s">
        <v>199</v>
      </c>
      <c r="F60" s="5" t="s">
        <v>200</v>
      </c>
      <c r="G60" s="5" t="s">
        <v>201</v>
      </c>
      <c r="H60" s="6">
        <v>46174.0</v>
      </c>
      <c r="I60" s="5" t="s">
        <v>202</v>
      </c>
      <c r="J60" s="5" t="s">
        <v>203</v>
      </c>
    </row>
    <row r="61">
      <c r="A61" s="5" t="s">
        <v>262</v>
      </c>
      <c r="B61" s="5" t="s">
        <v>263</v>
      </c>
      <c r="C61" s="5" t="s">
        <v>264</v>
      </c>
      <c r="D61" s="5" t="s">
        <v>199</v>
      </c>
      <c r="F61" s="5" t="s">
        <v>200</v>
      </c>
      <c r="G61" s="5" t="s">
        <v>201</v>
      </c>
      <c r="H61" s="6">
        <v>46174.0</v>
      </c>
      <c r="I61" s="5" t="s">
        <v>202</v>
      </c>
      <c r="J61" s="5" t="s">
        <v>203</v>
      </c>
    </row>
    <row r="62">
      <c r="A62" s="5" t="s">
        <v>266</v>
      </c>
      <c r="B62" s="5" t="s">
        <v>263</v>
      </c>
      <c r="C62" s="5" t="s">
        <v>267</v>
      </c>
      <c r="D62" s="5" t="s">
        <v>199</v>
      </c>
      <c r="F62" s="5" t="s">
        <v>200</v>
      </c>
      <c r="G62" s="5" t="s">
        <v>201</v>
      </c>
      <c r="H62" s="6">
        <v>46174.0</v>
      </c>
      <c r="I62" s="5" t="s">
        <v>202</v>
      </c>
      <c r="J62" s="5" t="s">
        <v>268</v>
      </c>
    </row>
    <row r="63">
      <c r="A63" s="5" t="s">
        <v>270</v>
      </c>
      <c r="B63" s="5" t="s">
        <v>263</v>
      </c>
      <c r="C63" s="5" t="s">
        <v>272</v>
      </c>
      <c r="D63" s="5" t="s">
        <v>199</v>
      </c>
      <c r="F63" s="5" t="s">
        <v>200</v>
      </c>
      <c r="G63" s="5" t="s">
        <v>201</v>
      </c>
      <c r="H63" s="6">
        <v>46174.0</v>
      </c>
      <c r="I63" s="5" t="s">
        <v>202</v>
      </c>
      <c r="J63" s="5" t="s">
        <v>268</v>
      </c>
    </row>
    <row r="64">
      <c r="A64" s="5" t="s">
        <v>275</v>
      </c>
      <c r="B64" s="5" t="s">
        <v>263</v>
      </c>
      <c r="C64" s="5" t="s">
        <v>276</v>
      </c>
      <c r="D64" s="5" t="s">
        <v>199</v>
      </c>
      <c r="F64" s="5" t="s">
        <v>200</v>
      </c>
      <c r="G64" s="5" t="s">
        <v>201</v>
      </c>
      <c r="H64" s="6">
        <v>46174.0</v>
      </c>
      <c r="I64" s="5" t="s">
        <v>202</v>
      </c>
      <c r="J64" s="5" t="s">
        <v>268</v>
      </c>
    </row>
    <row r="65">
      <c r="A65" s="5" t="s">
        <v>149</v>
      </c>
      <c r="B65" s="5" t="s">
        <v>104</v>
      </c>
      <c r="C65" s="5" t="s">
        <v>147</v>
      </c>
      <c r="D65" s="5" t="s">
        <v>199</v>
      </c>
      <c r="F65" s="5" t="s">
        <v>200</v>
      </c>
      <c r="G65" s="5" t="s">
        <v>201</v>
      </c>
      <c r="H65" s="6">
        <v>46174.0</v>
      </c>
      <c r="I65" s="5" t="s">
        <v>202</v>
      </c>
      <c r="J65" s="5" t="s">
        <v>268</v>
      </c>
    </row>
    <row r="66">
      <c r="A66" s="5" t="s">
        <v>194</v>
      </c>
      <c r="B66" s="5" t="s">
        <v>104</v>
      </c>
      <c r="C66" s="5" t="s">
        <v>193</v>
      </c>
      <c r="D66" s="5" t="s">
        <v>199</v>
      </c>
      <c r="F66" s="5" t="s">
        <v>200</v>
      </c>
      <c r="G66" s="5" t="s">
        <v>201</v>
      </c>
      <c r="H66" s="6">
        <v>46174.0</v>
      </c>
      <c r="I66" s="5" t="s">
        <v>202</v>
      </c>
      <c r="J66" s="5" t="s">
        <v>268</v>
      </c>
    </row>
    <row r="67">
      <c r="A67" s="5" t="s">
        <v>166</v>
      </c>
      <c r="B67" s="5" t="s">
        <v>104</v>
      </c>
      <c r="C67" s="5" t="s">
        <v>165</v>
      </c>
      <c r="D67" s="5" t="s">
        <v>199</v>
      </c>
      <c r="F67" s="5" t="s">
        <v>200</v>
      </c>
      <c r="G67" s="5" t="s">
        <v>201</v>
      </c>
      <c r="H67" s="6">
        <v>46174.0</v>
      </c>
      <c r="I67" s="5" t="s">
        <v>202</v>
      </c>
      <c r="J67" s="5" t="s">
        <v>268</v>
      </c>
    </row>
    <row r="68">
      <c r="A68" s="5" t="s">
        <v>161</v>
      </c>
      <c r="B68" s="5" t="s">
        <v>104</v>
      </c>
      <c r="C68" s="5" t="s">
        <v>160</v>
      </c>
      <c r="D68" s="5" t="s">
        <v>199</v>
      </c>
      <c r="F68" s="5" t="s">
        <v>200</v>
      </c>
      <c r="G68" s="5" t="s">
        <v>201</v>
      </c>
      <c r="H68" s="6">
        <v>46174.0</v>
      </c>
      <c r="I68" s="5" t="s">
        <v>202</v>
      </c>
      <c r="J68" s="5" t="s">
        <v>268</v>
      </c>
    </row>
    <row r="69">
      <c r="A69" s="5" t="s">
        <v>178</v>
      </c>
      <c r="B69" s="5" t="s">
        <v>104</v>
      </c>
      <c r="C69" s="5" t="s">
        <v>176</v>
      </c>
      <c r="D69" s="5" t="s">
        <v>199</v>
      </c>
      <c r="F69" s="5" t="s">
        <v>200</v>
      </c>
      <c r="G69" s="5" t="s">
        <v>201</v>
      </c>
      <c r="H69" s="6">
        <v>46174.0</v>
      </c>
      <c r="I69" s="5" t="s">
        <v>202</v>
      </c>
      <c r="J69" s="5" t="s">
        <v>268</v>
      </c>
    </row>
    <row r="71">
      <c r="A71" s="5" t="s">
        <v>180</v>
      </c>
      <c r="B71" s="5" t="s">
        <v>181</v>
      </c>
      <c r="C71" s="5" t="s">
        <v>182</v>
      </c>
      <c r="D71" s="5" t="s">
        <v>183</v>
      </c>
    </row>
    <row r="72">
      <c r="A72" s="5">
        <v>1.0</v>
      </c>
      <c r="B72" s="5" t="s">
        <v>279</v>
      </c>
      <c r="C72" s="5" t="s">
        <v>185</v>
      </c>
      <c r="D72" s="5" t="s">
        <v>280</v>
      </c>
    </row>
    <row r="73">
      <c r="A73" s="5">
        <v>2.0</v>
      </c>
      <c r="B73" s="5" t="s">
        <v>281</v>
      </c>
      <c r="C73" s="5" t="s">
        <v>185</v>
      </c>
      <c r="D73" s="5" t="s">
        <v>282</v>
      </c>
    </row>
    <row r="74">
      <c r="A74" s="5">
        <v>3.0</v>
      </c>
      <c r="B74" s="5" t="s">
        <v>283</v>
      </c>
      <c r="C74" s="5" t="s">
        <v>185</v>
      </c>
      <c r="D74" s="5" t="s">
        <v>284</v>
      </c>
    </row>
    <row r="76">
      <c r="A76" s="20" t="s">
        <v>286</v>
      </c>
      <c r="B76" s="21">
        <v>46174.0</v>
      </c>
      <c r="C76" s="20" t="s">
        <v>288</v>
      </c>
      <c r="D76" s="22"/>
      <c r="E76" s="22"/>
      <c r="F76" s="22"/>
      <c r="G76" s="22"/>
      <c r="H76" s="22"/>
      <c r="I76" s="22"/>
      <c r="J76" s="22"/>
    </row>
    <row r="77">
      <c r="A77" s="20" t="s">
        <v>16</v>
      </c>
      <c r="B77" s="20" t="s">
        <v>11</v>
      </c>
      <c r="C77" s="20" t="s">
        <v>12</v>
      </c>
      <c r="D77" s="20" t="s">
        <v>24</v>
      </c>
      <c r="E77" s="20" t="s">
        <v>17</v>
      </c>
      <c r="F77" s="20" t="s">
        <v>26</v>
      </c>
      <c r="G77" s="20" t="s">
        <v>27</v>
      </c>
      <c r="H77" s="20" t="s">
        <v>28</v>
      </c>
      <c r="I77" s="20" t="s">
        <v>30</v>
      </c>
      <c r="J77" s="20" t="s">
        <v>31</v>
      </c>
    </row>
    <row r="78">
      <c r="A78" s="5" t="s">
        <v>149</v>
      </c>
      <c r="B78" s="5" t="s">
        <v>104</v>
      </c>
      <c r="C78" s="5" t="s">
        <v>147</v>
      </c>
      <c r="D78" s="5" t="s">
        <v>37</v>
      </c>
      <c r="E78" s="10">
        <v>38.0</v>
      </c>
      <c r="F78" s="13" t="s">
        <v>290</v>
      </c>
      <c r="G78" s="5" t="s">
        <v>295</v>
      </c>
      <c r="H78" s="6">
        <v>46174.0</v>
      </c>
      <c r="I78" s="5" t="s">
        <v>45</v>
      </c>
      <c r="J78" s="5" t="s">
        <v>296</v>
      </c>
    </row>
    <row r="79">
      <c r="A79" s="5" t="s">
        <v>161</v>
      </c>
      <c r="B79" s="5" t="s">
        <v>104</v>
      </c>
      <c r="C79" s="5" t="s">
        <v>160</v>
      </c>
      <c r="D79" s="5" t="s">
        <v>49</v>
      </c>
      <c r="E79" s="10">
        <v>38.0</v>
      </c>
      <c r="F79" s="13" t="s">
        <v>297</v>
      </c>
      <c r="G79" s="5" t="s">
        <v>298</v>
      </c>
      <c r="H79" s="6">
        <v>46174.0</v>
      </c>
      <c r="I79" s="5" t="s">
        <v>54</v>
      </c>
      <c r="J79" s="5" t="s">
        <v>299</v>
      </c>
    </row>
    <row r="80">
      <c r="A80" s="5" t="s">
        <v>161</v>
      </c>
      <c r="B80" s="5" t="s">
        <v>104</v>
      </c>
      <c r="C80" s="5" t="s">
        <v>160</v>
      </c>
      <c r="D80" s="5" t="s">
        <v>37</v>
      </c>
      <c r="E80" s="10">
        <v>33.0</v>
      </c>
      <c r="F80" s="13" t="s">
        <v>300</v>
      </c>
      <c r="G80" s="5" t="s">
        <v>301</v>
      </c>
      <c r="H80" s="6">
        <v>46174.0</v>
      </c>
      <c r="I80" s="5" t="s">
        <v>45</v>
      </c>
      <c r="J80" s="5" t="s">
        <v>302</v>
      </c>
    </row>
    <row r="81">
      <c r="A81" s="5" t="s">
        <v>178</v>
      </c>
      <c r="B81" s="5" t="s">
        <v>104</v>
      </c>
      <c r="C81" s="5" t="s">
        <v>176</v>
      </c>
      <c r="D81" s="5" t="s">
        <v>49</v>
      </c>
      <c r="E81" s="10">
        <v>38.0</v>
      </c>
      <c r="F81" s="13" t="s">
        <v>303</v>
      </c>
      <c r="G81" s="5" t="s">
        <v>298</v>
      </c>
      <c r="H81" s="6">
        <v>46174.0</v>
      </c>
      <c r="I81" s="5" t="s">
        <v>54</v>
      </c>
      <c r="J81" s="5" t="s">
        <v>304</v>
      </c>
    </row>
    <row r="82">
      <c r="A82" s="5" t="s">
        <v>224</v>
      </c>
      <c r="B82" s="5" t="s">
        <v>221</v>
      </c>
      <c r="C82" s="5" t="s">
        <v>223</v>
      </c>
      <c r="D82" s="5" t="s">
        <v>37</v>
      </c>
      <c r="E82" s="10">
        <v>38.0</v>
      </c>
      <c r="F82" s="13" t="s">
        <v>305</v>
      </c>
      <c r="G82" s="5" t="s">
        <v>306</v>
      </c>
      <c r="H82" s="6">
        <v>46174.0</v>
      </c>
      <c r="I82" s="5" t="s">
        <v>45</v>
      </c>
      <c r="J82" s="5" t="s">
        <v>307</v>
      </c>
    </row>
    <row r="83">
      <c r="A83" s="5" t="s">
        <v>234</v>
      </c>
      <c r="B83" s="5" t="s">
        <v>221</v>
      </c>
      <c r="C83" s="5" t="s">
        <v>233</v>
      </c>
      <c r="D83" s="5" t="s">
        <v>49</v>
      </c>
      <c r="E83" s="10">
        <v>38.0</v>
      </c>
      <c r="F83" s="13" t="s">
        <v>308</v>
      </c>
      <c r="G83" s="5" t="s">
        <v>298</v>
      </c>
      <c r="H83" s="6">
        <v>46174.0</v>
      </c>
      <c r="I83" s="5" t="s">
        <v>54</v>
      </c>
      <c r="J83" s="5" t="s">
        <v>309</v>
      </c>
    </row>
    <row r="84">
      <c r="A84" s="5" t="s">
        <v>234</v>
      </c>
      <c r="B84" s="5" t="s">
        <v>221</v>
      </c>
      <c r="C84" s="5" t="s">
        <v>233</v>
      </c>
      <c r="D84" s="5" t="s">
        <v>37</v>
      </c>
      <c r="E84" s="10">
        <v>38.0</v>
      </c>
      <c r="F84" s="13" t="s">
        <v>305</v>
      </c>
      <c r="G84" s="5" t="s">
        <v>306</v>
      </c>
      <c r="H84" s="6">
        <v>46174.0</v>
      </c>
      <c r="I84" s="5" t="s">
        <v>45</v>
      </c>
      <c r="J84" s="5" t="s">
        <v>310</v>
      </c>
    </row>
    <row r="85">
      <c r="A85" s="5" t="s">
        <v>230</v>
      </c>
      <c r="B85" s="5" t="s">
        <v>221</v>
      </c>
      <c r="C85" s="5" t="s">
        <v>231</v>
      </c>
      <c r="D85" s="5" t="s">
        <v>49</v>
      </c>
      <c r="E85" s="10">
        <v>38.0</v>
      </c>
      <c r="F85" s="13" t="s">
        <v>311</v>
      </c>
      <c r="G85" s="5" t="s">
        <v>298</v>
      </c>
      <c r="H85" s="6">
        <v>46174.0</v>
      </c>
      <c r="I85" s="5" t="s">
        <v>54</v>
      </c>
      <c r="J85" s="5" t="s">
        <v>312</v>
      </c>
    </row>
    <row r="86">
      <c r="A86" s="5" t="s">
        <v>230</v>
      </c>
      <c r="B86" s="5" t="s">
        <v>221</v>
      </c>
      <c r="C86" s="5" t="s">
        <v>231</v>
      </c>
      <c r="D86" s="5" t="s">
        <v>37</v>
      </c>
      <c r="E86" s="10">
        <v>38.0</v>
      </c>
      <c r="F86" s="13" t="s">
        <v>305</v>
      </c>
      <c r="G86" s="5" t="s">
        <v>306</v>
      </c>
      <c r="H86" s="6">
        <v>46174.0</v>
      </c>
      <c r="I86" s="5" t="s">
        <v>45</v>
      </c>
      <c r="J86" s="5" t="s">
        <v>316</v>
      </c>
    </row>
    <row r="87">
      <c r="A87" s="5" t="s">
        <v>235</v>
      </c>
      <c r="B87" s="5" t="s">
        <v>221</v>
      </c>
      <c r="C87" s="5" t="s">
        <v>236</v>
      </c>
      <c r="D87" s="5" t="s">
        <v>37</v>
      </c>
      <c r="E87" s="10">
        <v>38.0</v>
      </c>
      <c r="F87" s="13" t="s">
        <v>317</v>
      </c>
      <c r="G87" s="5" t="s">
        <v>318</v>
      </c>
      <c r="H87" s="6">
        <v>46174.0</v>
      </c>
      <c r="I87" s="5" t="s">
        <v>54</v>
      </c>
      <c r="J87" s="5" t="s">
        <v>319</v>
      </c>
    </row>
    <row r="88">
      <c r="A88" s="5" t="s">
        <v>241</v>
      </c>
      <c r="B88" s="5" t="s">
        <v>238</v>
      </c>
      <c r="C88" s="5" t="s">
        <v>242</v>
      </c>
      <c r="D88" s="5" t="s">
        <v>37</v>
      </c>
      <c r="E88" s="10">
        <v>32.0</v>
      </c>
      <c r="F88" s="13" t="s">
        <v>323</v>
      </c>
      <c r="G88" s="5" t="s">
        <v>301</v>
      </c>
      <c r="H88" s="6">
        <v>46174.0</v>
      </c>
      <c r="I88" s="5" t="s">
        <v>45</v>
      </c>
      <c r="J88" s="5" t="s">
        <v>326</v>
      </c>
    </row>
    <row r="89">
      <c r="A89" s="5" t="s">
        <v>196</v>
      </c>
      <c r="B89" s="5" t="s">
        <v>197</v>
      </c>
      <c r="C89" s="5" t="s">
        <v>198</v>
      </c>
      <c r="D89" s="5" t="s">
        <v>56</v>
      </c>
      <c r="E89" s="10">
        <v>51.0</v>
      </c>
      <c r="F89" s="13" t="s">
        <v>330</v>
      </c>
      <c r="G89" s="5" t="s">
        <v>318</v>
      </c>
      <c r="H89" s="6">
        <v>46174.0</v>
      </c>
      <c r="I89" s="5" t="s">
        <v>54</v>
      </c>
      <c r="J89" s="5" t="s">
        <v>333</v>
      </c>
    </row>
    <row r="90">
      <c r="A90" s="5" t="s">
        <v>209</v>
      </c>
      <c r="B90" s="5" t="s">
        <v>197</v>
      </c>
      <c r="C90" s="5" t="s">
        <v>211</v>
      </c>
      <c r="D90" s="5" t="s">
        <v>56</v>
      </c>
      <c r="E90" s="10">
        <v>51.0</v>
      </c>
      <c r="F90" s="13" t="s">
        <v>334</v>
      </c>
      <c r="G90" s="5" t="s">
        <v>318</v>
      </c>
      <c r="H90" s="6">
        <v>46174.0</v>
      </c>
      <c r="I90" s="5" t="s">
        <v>54</v>
      </c>
      <c r="J90" s="5" t="s">
        <v>338</v>
      </c>
    </row>
    <row r="91">
      <c r="A91" s="5" t="s">
        <v>215</v>
      </c>
      <c r="B91" s="5" t="s">
        <v>197</v>
      </c>
      <c r="C91" s="5" t="s">
        <v>216</v>
      </c>
      <c r="D91" s="5" t="s">
        <v>56</v>
      </c>
      <c r="E91" s="10">
        <v>51.0</v>
      </c>
      <c r="F91" s="13" t="s">
        <v>340</v>
      </c>
      <c r="G91" s="5" t="s">
        <v>318</v>
      </c>
      <c r="H91" s="6">
        <v>46174.0</v>
      </c>
      <c r="I91" s="5" t="s">
        <v>54</v>
      </c>
      <c r="J91" s="5" t="s">
        <v>341</v>
      </c>
    </row>
    <row r="92">
      <c r="A92" s="5" t="s">
        <v>215</v>
      </c>
      <c r="B92" s="5" t="s">
        <v>197</v>
      </c>
      <c r="C92" s="5" t="s">
        <v>216</v>
      </c>
      <c r="D92" s="5" t="s">
        <v>37</v>
      </c>
      <c r="E92" s="10">
        <v>42.0</v>
      </c>
      <c r="F92" s="13" t="s">
        <v>342</v>
      </c>
      <c r="G92" s="5" t="s">
        <v>301</v>
      </c>
      <c r="H92" s="6">
        <v>46174.0</v>
      </c>
      <c r="I92" s="5" t="s">
        <v>45</v>
      </c>
      <c r="J92" s="5" t="s">
        <v>345</v>
      </c>
    </row>
    <row r="93">
      <c r="A93" s="5" t="s">
        <v>225</v>
      </c>
      <c r="B93" s="5" t="s">
        <v>197</v>
      </c>
      <c r="C93" s="5" t="s">
        <v>226</v>
      </c>
      <c r="D93" s="5" t="s">
        <v>56</v>
      </c>
      <c r="E93" s="10">
        <v>48.0</v>
      </c>
      <c r="F93" s="13" t="s">
        <v>346</v>
      </c>
      <c r="G93" s="5" t="s">
        <v>318</v>
      </c>
      <c r="H93" s="6">
        <v>46174.0</v>
      </c>
      <c r="I93" s="5" t="s">
        <v>54</v>
      </c>
      <c r="J93" s="5" t="s">
        <v>347</v>
      </c>
    </row>
    <row r="94">
      <c r="A94" s="5" t="s">
        <v>220</v>
      </c>
      <c r="B94" s="5" t="s">
        <v>197</v>
      </c>
      <c r="C94" s="5" t="s">
        <v>222</v>
      </c>
      <c r="D94" s="5" t="s">
        <v>56</v>
      </c>
      <c r="E94" s="10">
        <v>51.0</v>
      </c>
      <c r="F94" s="13" t="s">
        <v>350</v>
      </c>
      <c r="G94" s="5" t="s">
        <v>306</v>
      </c>
      <c r="H94" s="6">
        <v>46174.0</v>
      </c>
      <c r="I94" s="5" t="s">
        <v>45</v>
      </c>
      <c r="J94" s="5" t="s">
        <v>351</v>
      </c>
    </row>
    <row r="95">
      <c r="A95" s="5" t="s">
        <v>228</v>
      </c>
      <c r="B95" s="5" t="s">
        <v>197</v>
      </c>
      <c r="C95" s="5" t="s">
        <v>229</v>
      </c>
      <c r="D95" s="5" t="s">
        <v>56</v>
      </c>
      <c r="E95" s="10">
        <v>51.0</v>
      </c>
      <c r="F95" s="13" t="s">
        <v>352</v>
      </c>
      <c r="G95" s="5" t="s">
        <v>318</v>
      </c>
      <c r="H95" s="6">
        <v>46174.0</v>
      </c>
      <c r="I95" s="5" t="s">
        <v>54</v>
      </c>
      <c r="J95" s="5" t="s">
        <v>356</v>
      </c>
    </row>
    <row r="96">
      <c r="A96" s="5" t="s">
        <v>228</v>
      </c>
      <c r="B96" s="5" t="s">
        <v>197</v>
      </c>
      <c r="C96" s="5" t="s">
        <v>229</v>
      </c>
      <c r="D96" s="5" t="s">
        <v>37</v>
      </c>
      <c r="E96" s="10">
        <v>40.0</v>
      </c>
      <c r="F96" s="13" t="s">
        <v>357</v>
      </c>
      <c r="G96" s="5" t="s">
        <v>301</v>
      </c>
      <c r="H96" s="6">
        <v>46174.0</v>
      </c>
      <c r="I96" s="5" t="s">
        <v>45</v>
      </c>
      <c r="J96" s="5" t="s">
        <v>358</v>
      </c>
    </row>
    <row r="97">
      <c r="A97" s="5" t="s">
        <v>249</v>
      </c>
      <c r="B97" s="5" t="s">
        <v>250</v>
      </c>
      <c r="C97" s="5" t="s">
        <v>251</v>
      </c>
      <c r="D97" s="5" t="s">
        <v>49</v>
      </c>
      <c r="E97" s="10">
        <v>60.0</v>
      </c>
      <c r="F97" s="13" t="s">
        <v>360</v>
      </c>
      <c r="G97" s="5" t="s">
        <v>318</v>
      </c>
      <c r="H97" s="6">
        <v>46174.0</v>
      </c>
      <c r="I97" s="5" t="s">
        <v>54</v>
      </c>
      <c r="J97" s="5" t="s">
        <v>362</v>
      </c>
    </row>
    <row r="98">
      <c r="A98" s="5" t="s">
        <v>249</v>
      </c>
      <c r="B98" s="5" t="s">
        <v>250</v>
      </c>
      <c r="C98" s="5" t="s">
        <v>251</v>
      </c>
      <c r="D98" s="5" t="s">
        <v>37</v>
      </c>
      <c r="E98" s="10">
        <v>85.0</v>
      </c>
      <c r="F98" s="13" t="s">
        <v>364</v>
      </c>
      <c r="G98" s="5" t="s">
        <v>318</v>
      </c>
      <c r="H98" s="6">
        <v>46174.0</v>
      </c>
      <c r="I98" s="5" t="s">
        <v>45</v>
      </c>
      <c r="J98" s="5" t="s">
        <v>367</v>
      </c>
    </row>
    <row r="99">
      <c r="A99" s="5" t="s">
        <v>255</v>
      </c>
      <c r="B99" s="5" t="s">
        <v>256</v>
      </c>
      <c r="C99" s="5" t="s">
        <v>257</v>
      </c>
      <c r="D99" s="5" t="s">
        <v>49</v>
      </c>
      <c r="E99" s="10">
        <v>51.0</v>
      </c>
      <c r="F99" s="13" t="s">
        <v>368</v>
      </c>
      <c r="G99" s="5" t="s">
        <v>371</v>
      </c>
      <c r="H99" s="6">
        <v>46174.0</v>
      </c>
      <c r="I99" s="5" t="s">
        <v>45</v>
      </c>
      <c r="J99" s="5" t="s">
        <v>372</v>
      </c>
    </row>
    <row r="100">
      <c r="A100" s="5" t="s">
        <v>255</v>
      </c>
      <c r="B100" s="5" t="s">
        <v>256</v>
      </c>
      <c r="C100" s="5" t="s">
        <v>257</v>
      </c>
      <c r="D100" s="5" t="s">
        <v>37</v>
      </c>
      <c r="E100" s="10">
        <v>51.0</v>
      </c>
      <c r="F100" s="13" t="s">
        <v>373</v>
      </c>
      <c r="G100" s="5" t="s">
        <v>148</v>
      </c>
      <c r="H100" s="6">
        <v>46174.0</v>
      </c>
      <c r="I100" s="5" t="s">
        <v>45</v>
      </c>
      <c r="J100" s="5" t="s">
        <v>376</v>
      </c>
    </row>
    <row r="101">
      <c r="A101" s="5" t="s">
        <v>260</v>
      </c>
      <c r="B101" s="5" t="s">
        <v>256</v>
      </c>
      <c r="C101" s="5" t="s">
        <v>261</v>
      </c>
      <c r="D101" s="5" t="s">
        <v>49</v>
      </c>
      <c r="E101" s="10">
        <v>51.0</v>
      </c>
      <c r="F101" s="13" t="s">
        <v>377</v>
      </c>
      <c r="G101" s="5" t="s">
        <v>298</v>
      </c>
      <c r="H101" s="6">
        <v>46174.0</v>
      </c>
      <c r="I101" s="5" t="s">
        <v>54</v>
      </c>
      <c r="J101" s="5" t="s">
        <v>378</v>
      </c>
    </row>
    <row r="102">
      <c r="A102" s="5" t="s">
        <v>260</v>
      </c>
      <c r="B102" s="5" t="s">
        <v>256</v>
      </c>
      <c r="C102" s="5" t="s">
        <v>261</v>
      </c>
      <c r="D102" s="5" t="s">
        <v>37</v>
      </c>
      <c r="E102" s="10">
        <v>51.0</v>
      </c>
      <c r="F102" s="13" t="s">
        <v>379</v>
      </c>
      <c r="G102" s="5" t="s">
        <v>318</v>
      </c>
      <c r="H102" s="6">
        <v>46174.0</v>
      </c>
      <c r="I102" s="5" t="s">
        <v>54</v>
      </c>
      <c r="J102" s="5" t="s">
        <v>380</v>
      </c>
    </row>
    <row r="103">
      <c r="A103" s="5" t="s">
        <v>258</v>
      </c>
      <c r="B103" s="5" t="s">
        <v>256</v>
      </c>
      <c r="C103" s="5" t="s">
        <v>259</v>
      </c>
      <c r="D103" s="5" t="s">
        <v>49</v>
      </c>
      <c r="E103" s="10">
        <v>51.0</v>
      </c>
      <c r="F103" s="13" t="s">
        <v>381</v>
      </c>
      <c r="G103" s="5" t="s">
        <v>298</v>
      </c>
      <c r="H103" s="6">
        <v>46174.0</v>
      </c>
      <c r="I103" s="5" t="s">
        <v>54</v>
      </c>
      <c r="J103" s="5" t="s">
        <v>384</v>
      </c>
    </row>
    <row r="104">
      <c r="A104" s="5" t="s">
        <v>258</v>
      </c>
      <c r="B104" s="5" t="s">
        <v>256</v>
      </c>
      <c r="C104" s="5" t="s">
        <v>259</v>
      </c>
      <c r="D104" s="5" t="s">
        <v>37</v>
      </c>
      <c r="E104" s="10">
        <v>51.0</v>
      </c>
      <c r="F104" s="13" t="s">
        <v>386</v>
      </c>
      <c r="G104" s="5" t="s">
        <v>148</v>
      </c>
      <c r="H104" s="6">
        <v>46174.0</v>
      </c>
      <c r="I104" s="5" t="s">
        <v>45</v>
      </c>
      <c r="J104" s="5" t="s">
        <v>388</v>
      </c>
    </row>
    <row r="105">
      <c r="A105" s="5" t="s">
        <v>243</v>
      </c>
      <c r="B105" s="5" t="s">
        <v>244</v>
      </c>
      <c r="C105" s="5" t="s">
        <v>245</v>
      </c>
      <c r="D105" s="5" t="s">
        <v>49</v>
      </c>
      <c r="E105" s="10">
        <v>45.0</v>
      </c>
      <c r="F105" s="13" t="s">
        <v>389</v>
      </c>
      <c r="G105" s="5" t="s">
        <v>318</v>
      </c>
      <c r="H105" s="6">
        <v>46174.0</v>
      </c>
      <c r="I105" s="5" t="s">
        <v>54</v>
      </c>
      <c r="J105" s="5" t="s">
        <v>390</v>
      </c>
    </row>
    <row r="106">
      <c r="A106" s="5" t="s">
        <v>243</v>
      </c>
      <c r="B106" s="5" t="s">
        <v>244</v>
      </c>
      <c r="C106" s="5" t="s">
        <v>245</v>
      </c>
      <c r="D106" s="5" t="s">
        <v>37</v>
      </c>
      <c r="E106" s="10">
        <v>45.0</v>
      </c>
      <c r="F106" s="13" t="s">
        <v>391</v>
      </c>
      <c r="G106" s="5" t="s">
        <v>318</v>
      </c>
      <c r="H106" s="6">
        <v>46174.0</v>
      </c>
      <c r="I106" s="5" t="s">
        <v>54</v>
      </c>
      <c r="J106" s="5" t="s">
        <v>392</v>
      </c>
    </row>
    <row r="107">
      <c r="E107" s="15"/>
    </row>
    <row r="108">
      <c r="A108" s="5" t="s">
        <v>180</v>
      </c>
      <c r="B108" s="5" t="s">
        <v>181</v>
      </c>
      <c r="C108" s="5" t="s">
        <v>182</v>
      </c>
      <c r="D108" s="5" t="s">
        <v>183</v>
      </c>
      <c r="E108" s="15"/>
    </row>
    <row r="109">
      <c r="A109" s="5">
        <v>1.0</v>
      </c>
      <c r="B109" s="5" t="s">
        <v>393</v>
      </c>
      <c r="C109" s="5" t="s">
        <v>185</v>
      </c>
      <c r="D109" s="5" t="s">
        <v>394</v>
      </c>
      <c r="E109" s="15"/>
    </row>
    <row r="110">
      <c r="A110" s="5">
        <v>2.0</v>
      </c>
      <c r="B110" s="5" t="s">
        <v>395</v>
      </c>
      <c r="C110" s="5" t="s">
        <v>185</v>
      </c>
      <c r="D110" s="5" t="s">
        <v>396</v>
      </c>
      <c r="E110" s="15"/>
    </row>
    <row r="111">
      <c r="A111" s="5">
        <v>3.0</v>
      </c>
      <c r="B111" s="5" t="s">
        <v>398</v>
      </c>
      <c r="C111" s="5" t="s">
        <v>399</v>
      </c>
      <c r="D111" s="5" t="s">
        <v>400</v>
      </c>
    </row>
    <row r="141">
      <c r="A141" s="20" t="s">
        <v>192</v>
      </c>
      <c r="B141" s="21">
        <v>46187.0</v>
      </c>
      <c r="C141" s="20" t="s">
        <v>401</v>
      </c>
      <c r="D141" s="22"/>
      <c r="E141" s="22"/>
      <c r="F141" s="22"/>
      <c r="G141" s="22"/>
      <c r="H141" s="22"/>
      <c r="I141" s="22"/>
      <c r="J141" s="22"/>
    </row>
    <row r="142">
      <c r="A142" s="20" t="s">
        <v>16</v>
      </c>
      <c r="B142" s="20" t="s">
        <v>11</v>
      </c>
      <c r="C142" s="20" t="s">
        <v>12</v>
      </c>
      <c r="D142" s="20" t="s">
        <v>24</v>
      </c>
      <c r="E142" s="20" t="s">
        <v>17</v>
      </c>
      <c r="F142" s="20" t="s">
        <v>26</v>
      </c>
      <c r="G142" s="20" t="s">
        <v>27</v>
      </c>
      <c r="H142" s="20" t="s">
        <v>28</v>
      </c>
      <c r="I142" s="20" t="s">
        <v>30</v>
      </c>
      <c r="J142" s="20" t="s">
        <v>31</v>
      </c>
    </row>
    <row r="143">
      <c r="A143" s="5" t="s">
        <v>128</v>
      </c>
      <c r="B143" s="5" t="s">
        <v>104</v>
      </c>
      <c r="C143" s="5" t="s">
        <v>122</v>
      </c>
      <c r="D143" s="5" t="s">
        <v>199</v>
      </c>
      <c r="F143" s="5" t="s">
        <v>200</v>
      </c>
      <c r="G143" s="5" t="s">
        <v>201</v>
      </c>
      <c r="H143" s="6">
        <v>46187.0</v>
      </c>
      <c r="I143" s="5" t="s">
        <v>202</v>
      </c>
      <c r="J143" s="5" t="s">
        <v>402</v>
      </c>
    </row>
    <row r="144">
      <c r="A144" s="5" t="s">
        <v>134</v>
      </c>
      <c r="B144" s="5" t="s">
        <v>104</v>
      </c>
      <c r="C144" s="5" t="s">
        <v>133</v>
      </c>
      <c r="D144" s="5" t="s">
        <v>199</v>
      </c>
      <c r="F144" s="5" t="s">
        <v>200</v>
      </c>
      <c r="G144" s="5" t="s">
        <v>201</v>
      </c>
      <c r="H144" s="6">
        <v>46187.0</v>
      </c>
      <c r="I144" s="5" t="s">
        <v>202</v>
      </c>
      <c r="J144" s="5" t="s">
        <v>402</v>
      </c>
    </row>
    <row r="145">
      <c r="A145" s="5" t="s">
        <v>117</v>
      </c>
      <c r="B145" s="5" t="s">
        <v>104</v>
      </c>
      <c r="C145" s="5" t="s">
        <v>116</v>
      </c>
      <c r="D145" s="5" t="s">
        <v>199</v>
      </c>
      <c r="F145" s="5" t="s">
        <v>200</v>
      </c>
      <c r="G145" s="5" t="s">
        <v>201</v>
      </c>
      <c r="H145" s="6">
        <v>46187.0</v>
      </c>
      <c r="I145" s="5" t="s">
        <v>202</v>
      </c>
      <c r="J145" s="5" t="s">
        <v>402</v>
      </c>
    </row>
    <row r="146">
      <c r="A146" s="5" t="s">
        <v>106</v>
      </c>
      <c r="B146" s="5" t="s">
        <v>104</v>
      </c>
      <c r="C146" s="5" t="s">
        <v>105</v>
      </c>
      <c r="D146" s="5" t="s">
        <v>199</v>
      </c>
      <c r="F146" s="5" t="s">
        <v>200</v>
      </c>
      <c r="G146" s="5" t="s">
        <v>201</v>
      </c>
      <c r="H146" s="6">
        <v>46187.0</v>
      </c>
      <c r="I146" s="5" t="s">
        <v>202</v>
      </c>
      <c r="J146" s="5" t="s">
        <v>402</v>
      </c>
    </row>
    <row r="147">
      <c r="A147" s="5" t="s">
        <v>131</v>
      </c>
      <c r="B147" s="5" t="s">
        <v>104</v>
      </c>
      <c r="C147" s="5" t="s">
        <v>130</v>
      </c>
      <c r="D147" s="5" t="s">
        <v>199</v>
      </c>
      <c r="F147" s="5" t="s">
        <v>200</v>
      </c>
      <c r="G147" s="5" t="s">
        <v>201</v>
      </c>
      <c r="H147" s="6">
        <v>46187.0</v>
      </c>
      <c r="I147" s="5" t="s">
        <v>202</v>
      </c>
      <c r="J147" s="5" t="s">
        <v>402</v>
      </c>
    </row>
    <row r="148">
      <c r="A148" s="5" t="s">
        <v>144</v>
      </c>
      <c r="B148" s="5" t="s">
        <v>104</v>
      </c>
      <c r="C148" s="5" t="s">
        <v>142</v>
      </c>
      <c r="D148" s="5" t="s">
        <v>199</v>
      </c>
      <c r="F148" s="5" t="s">
        <v>200</v>
      </c>
      <c r="G148" s="5" t="s">
        <v>201</v>
      </c>
      <c r="H148" s="6">
        <v>46187.0</v>
      </c>
      <c r="I148" s="5" t="s">
        <v>202</v>
      </c>
      <c r="J148" s="5" t="s">
        <v>402</v>
      </c>
    </row>
    <row r="149">
      <c r="A149" s="5" t="s">
        <v>361</v>
      </c>
      <c r="B149" s="5" t="s">
        <v>353</v>
      </c>
      <c r="C149" s="5" t="s">
        <v>359</v>
      </c>
      <c r="D149" s="5" t="s">
        <v>199</v>
      </c>
      <c r="F149" s="5" t="s">
        <v>200</v>
      </c>
      <c r="G149" s="5" t="s">
        <v>201</v>
      </c>
      <c r="H149" s="6">
        <v>46187.0</v>
      </c>
      <c r="I149" s="5" t="s">
        <v>202</v>
      </c>
      <c r="J149" s="5" t="s">
        <v>403</v>
      </c>
    </row>
    <row r="150">
      <c r="A150" s="5" t="s">
        <v>375</v>
      </c>
      <c r="B150" s="5" t="s">
        <v>353</v>
      </c>
      <c r="C150" s="5" t="s">
        <v>374</v>
      </c>
      <c r="D150" s="5" t="s">
        <v>199</v>
      </c>
      <c r="F150" s="5" t="s">
        <v>200</v>
      </c>
      <c r="G150" s="5" t="s">
        <v>201</v>
      </c>
      <c r="H150" s="6">
        <v>46187.0</v>
      </c>
      <c r="I150" s="5" t="s">
        <v>202</v>
      </c>
      <c r="J150" s="5" t="s">
        <v>403</v>
      </c>
    </row>
    <row r="151">
      <c r="A151" s="5" t="s">
        <v>370</v>
      </c>
      <c r="B151" s="5" t="s">
        <v>353</v>
      </c>
      <c r="C151" s="5" t="s">
        <v>369</v>
      </c>
      <c r="D151" s="5" t="s">
        <v>199</v>
      </c>
      <c r="F151" s="5" t="s">
        <v>200</v>
      </c>
      <c r="G151" s="5" t="s">
        <v>201</v>
      </c>
      <c r="H151" s="6">
        <v>46187.0</v>
      </c>
      <c r="I151" s="5" t="s">
        <v>202</v>
      </c>
      <c r="J151" s="5" t="s">
        <v>402</v>
      </c>
    </row>
    <row r="152">
      <c r="A152" s="5" t="s">
        <v>355</v>
      </c>
      <c r="B152" s="5" t="s">
        <v>353</v>
      </c>
      <c r="C152" s="5" t="s">
        <v>354</v>
      </c>
      <c r="D152" s="5" t="s">
        <v>199</v>
      </c>
      <c r="F152" s="5" t="s">
        <v>200</v>
      </c>
      <c r="G152" s="5" t="s">
        <v>201</v>
      </c>
      <c r="H152" s="6">
        <v>46187.0</v>
      </c>
      <c r="I152" s="5" t="s">
        <v>202</v>
      </c>
      <c r="J152" s="5" t="s">
        <v>402</v>
      </c>
    </row>
    <row r="153">
      <c r="A153" s="5" t="s">
        <v>366</v>
      </c>
      <c r="B153" s="5" t="s">
        <v>353</v>
      </c>
      <c r="C153" s="5" t="s">
        <v>365</v>
      </c>
      <c r="D153" s="5" t="s">
        <v>199</v>
      </c>
      <c r="F153" s="5" t="s">
        <v>200</v>
      </c>
      <c r="G153" s="5" t="s">
        <v>201</v>
      </c>
      <c r="H153" s="6">
        <v>46187.0</v>
      </c>
      <c r="I153" s="5" t="s">
        <v>202</v>
      </c>
      <c r="J153" s="5" t="s">
        <v>402</v>
      </c>
    </row>
    <row r="154">
      <c r="A154" s="5" t="s">
        <v>274</v>
      </c>
      <c r="B154" s="5" t="s">
        <v>271</v>
      </c>
      <c r="C154" s="5" t="s">
        <v>273</v>
      </c>
      <c r="D154" s="5" t="s">
        <v>199</v>
      </c>
      <c r="F154" s="5" t="s">
        <v>200</v>
      </c>
      <c r="G154" s="5" t="s">
        <v>201</v>
      </c>
      <c r="H154" s="6">
        <v>46187.0</v>
      </c>
      <c r="I154" s="5" t="s">
        <v>202</v>
      </c>
      <c r="J154" s="5" t="s">
        <v>402</v>
      </c>
    </row>
    <row r="155">
      <c r="A155" s="5" t="s">
        <v>278</v>
      </c>
      <c r="B155" s="5" t="s">
        <v>271</v>
      </c>
      <c r="C155" s="5" t="s">
        <v>277</v>
      </c>
      <c r="D155" s="5" t="s">
        <v>199</v>
      </c>
      <c r="F155" s="5" t="s">
        <v>200</v>
      </c>
      <c r="G155" s="5" t="s">
        <v>201</v>
      </c>
      <c r="H155" s="6">
        <v>46187.0</v>
      </c>
      <c r="I155" s="5" t="s">
        <v>202</v>
      </c>
      <c r="J155" s="5" t="s">
        <v>402</v>
      </c>
    </row>
    <row r="156">
      <c r="A156" s="5" t="s">
        <v>404</v>
      </c>
      <c r="B156" s="5" t="s">
        <v>405</v>
      </c>
      <c r="C156" s="5" t="s">
        <v>406</v>
      </c>
      <c r="D156" s="5" t="s">
        <v>199</v>
      </c>
      <c r="F156" s="5" t="s">
        <v>200</v>
      </c>
      <c r="G156" s="5" t="s">
        <v>201</v>
      </c>
      <c r="H156" s="6">
        <v>46187.0</v>
      </c>
      <c r="I156" s="5" t="s">
        <v>202</v>
      </c>
      <c r="J156" s="5" t="s">
        <v>402</v>
      </c>
    </row>
    <row r="157">
      <c r="A157" s="5" t="s">
        <v>407</v>
      </c>
      <c r="B157" s="5" t="s">
        <v>405</v>
      </c>
      <c r="C157" s="5" t="s">
        <v>408</v>
      </c>
      <c r="D157" s="5" t="s">
        <v>199</v>
      </c>
      <c r="F157" s="5" t="s">
        <v>200</v>
      </c>
      <c r="G157" s="5" t="s">
        <v>201</v>
      </c>
      <c r="H157" s="6">
        <v>46187.0</v>
      </c>
      <c r="I157" s="5" t="s">
        <v>202</v>
      </c>
      <c r="J157" s="5" t="s">
        <v>402</v>
      </c>
    </row>
    <row r="158">
      <c r="A158" s="5" t="s">
        <v>410</v>
      </c>
      <c r="B158" s="5" t="s">
        <v>405</v>
      </c>
      <c r="C158" s="5" t="s">
        <v>411</v>
      </c>
      <c r="D158" s="5" t="s">
        <v>199</v>
      </c>
      <c r="F158" s="5" t="s">
        <v>200</v>
      </c>
      <c r="G158" s="5" t="s">
        <v>201</v>
      </c>
      <c r="H158" s="6">
        <v>46187.0</v>
      </c>
      <c r="I158" s="5" t="s">
        <v>202</v>
      </c>
      <c r="J158" s="5" t="s">
        <v>402</v>
      </c>
    </row>
    <row r="159">
      <c r="A159" s="5" t="s">
        <v>413</v>
      </c>
      <c r="B159" s="5" t="s">
        <v>405</v>
      </c>
      <c r="C159" s="5" t="s">
        <v>414</v>
      </c>
      <c r="D159" s="5" t="s">
        <v>199</v>
      </c>
      <c r="F159" s="5" t="s">
        <v>200</v>
      </c>
      <c r="G159" s="5" t="s">
        <v>201</v>
      </c>
      <c r="H159" s="6">
        <v>46187.0</v>
      </c>
      <c r="I159" s="5" t="s">
        <v>202</v>
      </c>
      <c r="J159" s="5" t="s">
        <v>402</v>
      </c>
    </row>
    <row r="160">
      <c r="A160" s="5" t="s">
        <v>416</v>
      </c>
      <c r="B160" s="5" t="s">
        <v>405</v>
      </c>
      <c r="C160" s="5" t="s">
        <v>417</v>
      </c>
      <c r="D160" s="5" t="s">
        <v>199</v>
      </c>
      <c r="F160" s="5" t="s">
        <v>200</v>
      </c>
      <c r="G160" s="5" t="s">
        <v>201</v>
      </c>
      <c r="H160" s="6">
        <v>46187.0</v>
      </c>
      <c r="I160" s="5" t="s">
        <v>202</v>
      </c>
      <c r="J160" s="5" t="s">
        <v>402</v>
      </c>
    </row>
    <row r="161">
      <c r="A161" s="5" t="s">
        <v>415</v>
      </c>
      <c r="B161" s="5" t="s">
        <v>405</v>
      </c>
      <c r="C161" s="5" t="s">
        <v>412</v>
      </c>
      <c r="D161" s="5" t="s">
        <v>199</v>
      </c>
      <c r="F161" s="5" t="s">
        <v>200</v>
      </c>
      <c r="G161" s="5" t="s">
        <v>201</v>
      </c>
      <c r="H161" s="6">
        <v>46187.0</v>
      </c>
      <c r="I161" s="5" t="s">
        <v>202</v>
      </c>
      <c r="J161" s="5" t="s">
        <v>402</v>
      </c>
    </row>
    <row r="162">
      <c r="A162" s="5" t="s">
        <v>418</v>
      </c>
      <c r="B162" s="5" t="s">
        <v>405</v>
      </c>
      <c r="C162" s="5" t="s">
        <v>419</v>
      </c>
      <c r="D162" s="5" t="s">
        <v>199</v>
      </c>
      <c r="F162" s="5" t="s">
        <v>200</v>
      </c>
      <c r="G162" s="5" t="s">
        <v>201</v>
      </c>
      <c r="H162" s="6">
        <v>46187.0</v>
      </c>
      <c r="I162" s="5" t="s">
        <v>202</v>
      </c>
      <c r="J162" s="5" t="s">
        <v>402</v>
      </c>
    </row>
    <row r="163">
      <c r="A163" s="5" t="s">
        <v>420</v>
      </c>
      <c r="B163" s="5" t="s">
        <v>405</v>
      </c>
      <c r="C163" s="5" t="s">
        <v>421</v>
      </c>
      <c r="D163" s="5" t="s">
        <v>199</v>
      </c>
      <c r="F163" s="5" t="s">
        <v>200</v>
      </c>
      <c r="G163" s="5" t="s">
        <v>201</v>
      </c>
      <c r="H163" s="6">
        <v>46187.0</v>
      </c>
      <c r="I163" s="5" t="s">
        <v>202</v>
      </c>
      <c r="J163" s="5" t="s">
        <v>402</v>
      </c>
    </row>
    <row r="164">
      <c r="A164" s="5" t="s">
        <v>83</v>
      </c>
      <c r="B164" s="5" t="s">
        <v>79</v>
      </c>
      <c r="C164" s="5" t="s">
        <v>80</v>
      </c>
      <c r="D164" s="5" t="s">
        <v>199</v>
      </c>
      <c r="F164" s="5" t="s">
        <v>200</v>
      </c>
      <c r="G164" s="5" t="s">
        <v>201</v>
      </c>
      <c r="H164" s="6">
        <v>46187.0</v>
      </c>
      <c r="I164" s="5" t="s">
        <v>202</v>
      </c>
      <c r="J164" s="5" t="s">
        <v>402</v>
      </c>
    </row>
    <row r="165">
      <c r="A165" s="5" t="s">
        <v>89</v>
      </c>
      <c r="B165" s="5" t="s">
        <v>79</v>
      </c>
      <c r="C165" s="5" t="s">
        <v>86</v>
      </c>
      <c r="D165" s="5" t="s">
        <v>199</v>
      </c>
      <c r="F165" s="5" t="s">
        <v>200</v>
      </c>
      <c r="G165" s="5" t="s">
        <v>201</v>
      </c>
      <c r="H165" s="6">
        <v>46187.0</v>
      </c>
      <c r="I165" s="5" t="s">
        <v>202</v>
      </c>
      <c r="J165" s="5" t="s">
        <v>402</v>
      </c>
    </row>
    <row r="166">
      <c r="A166" s="5" t="s">
        <v>100</v>
      </c>
      <c r="B166" s="5" t="s">
        <v>79</v>
      </c>
      <c r="C166" s="5" t="s">
        <v>97</v>
      </c>
      <c r="D166" s="5" t="s">
        <v>199</v>
      </c>
      <c r="F166" s="5" t="s">
        <v>200</v>
      </c>
      <c r="G166" s="5" t="s">
        <v>201</v>
      </c>
      <c r="H166" s="6">
        <v>46187.0</v>
      </c>
      <c r="I166" s="5" t="s">
        <v>202</v>
      </c>
      <c r="J166" s="5" t="s">
        <v>402</v>
      </c>
    </row>
    <row r="167">
      <c r="A167" s="5" t="s">
        <v>325</v>
      </c>
      <c r="B167" s="5" t="s">
        <v>321</v>
      </c>
      <c r="C167" s="5" t="s">
        <v>322</v>
      </c>
      <c r="D167" s="5" t="s">
        <v>199</v>
      </c>
      <c r="F167" s="5" t="s">
        <v>200</v>
      </c>
      <c r="G167" s="5" t="s">
        <v>201</v>
      </c>
      <c r="H167" s="6">
        <v>46187.0</v>
      </c>
      <c r="I167" s="5" t="s">
        <v>202</v>
      </c>
      <c r="J167" s="5" t="s">
        <v>422</v>
      </c>
    </row>
    <row r="168">
      <c r="A168" s="5" t="s">
        <v>423</v>
      </c>
      <c r="B168" s="5" t="s">
        <v>424</v>
      </c>
      <c r="C168" s="5" t="s">
        <v>425</v>
      </c>
      <c r="D168" s="5" t="s">
        <v>199</v>
      </c>
      <c r="F168" s="5" t="s">
        <v>200</v>
      </c>
      <c r="G168" s="5" t="s">
        <v>201</v>
      </c>
      <c r="H168" s="6">
        <v>46187.0</v>
      </c>
      <c r="I168" s="5" t="s">
        <v>202</v>
      </c>
      <c r="J168" s="5" t="s">
        <v>426</v>
      </c>
    </row>
    <row r="169">
      <c r="A169" s="5" t="s">
        <v>212</v>
      </c>
      <c r="B169" s="5" t="s">
        <v>207</v>
      </c>
      <c r="C169" s="5" t="s">
        <v>208</v>
      </c>
      <c r="D169" s="5" t="s">
        <v>199</v>
      </c>
      <c r="F169" s="5" t="s">
        <v>200</v>
      </c>
      <c r="G169" s="5" t="s">
        <v>201</v>
      </c>
      <c r="H169" s="6">
        <v>46187.0</v>
      </c>
      <c r="I169" s="5" t="s">
        <v>202</v>
      </c>
      <c r="J169" s="5" t="s">
        <v>426</v>
      </c>
    </row>
    <row r="170">
      <c r="A170" s="5" t="s">
        <v>427</v>
      </c>
      <c r="B170" s="5" t="s">
        <v>428</v>
      </c>
      <c r="C170" s="5" t="s">
        <v>429</v>
      </c>
      <c r="D170" s="5" t="s">
        <v>199</v>
      </c>
      <c r="F170" s="5" t="s">
        <v>200</v>
      </c>
      <c r="G170" s="5" t="s">
        <v>201</v>
      </c>
      <c r="H170" s="6">
        <v>46187.0</v>
      </c>
      <c r="I170" s="5" t="s">
        <v>202</v>
      </c>
      <c r="J170" s="5" t="s">
        <v>426</v>
      </c>
    </row>
    <row r="171">
      <c r="A171" s="5" t="s">
        <v>430</v>
      </c>
      <c r="B171" s="5" t="s">
        <v>428</v>
      </c>
      <c r="C171" s="5" t="s">
        <v>431</v>
      </c>
      <c r="D171" s="5" t="s">
        <v>199</v>
      </c>
      <c r="F171" s="5" t="s">
        <v>200</v>
      </c>
      <c r="G171" s="5" t="s">
        <v>201</v>
      </c>
      <c r="H171" s="6">
        <v>46187.0</v>
      </c>
      <c r="I171" s="5" t="s">
        <v>202</v>
      </c>
      <c r="J171" s="5" t="s">
        <v>426</v>
      </c>
    </row>
    <row r="172">
      <c r="A172" s="5" t="s">
        <v>332</v>
      </c>
      <c r="B172" s="5" t="s">
        <v>329</v>
      </c>
      <c r="C172" s="5" t="s">
        <v>331</v>
      </c>
      <c r="D172" s="5" t="s">
        <v>199</v>
      </c>
      <c r="F172" s="5" t="s">
        <v>200</v>
      </c>
      <c r="G172" s="5" t="s">
        <v>201</v>
      </c>
      <c r="H172" s="6">
        <v>46187.0</v>
      </c>
      <c r="I172" s="5" t="s">
        <v>202</v>
      </c>
      <c r="J172" s="5" t="s">
        <v>426</v>
      </c>
    </row>
    <row r="173">
      <c r="A173" s="5" t="s">
        <v>289</v>
      </c>
      <c r="B173" s="5" t="s">
        <v>285</v>
      </c>
      <c r="C173" s="5" t="s">
        <v>287</v>
      </c>
      <c r="D173" s="5" t="s">
        <v>199</v>
      </c>
      <c r="F173" s="5" t="s">
        <v>200</v>
      </c>
      <c r="G173" s="5" t="s">
        <v>201</v>
      </c>
      <c r="H173" s="6">
        <v>46187.0</v>
      </c>
      <c r="I173" s="5" t="s">
        <v>202</v>
      </c>
      <c r="J173" s="5" t="s">
        <v>426</v>
      </c>
    </row>
    <row r="174">
      <c r="A174" s="5" t="s">
        <v>432</v>
      </c>
      <c r="B174" s="5" t="s">
        <v>433</v>
      </c>
      <c r="C174" s="5" t="s">
        <v>434</v>
      </c>
      <c r="D174" s="5" t="s">
        <v>199</v>
      </c>
      <c r="F174" s="5" t="s">
        <v>200</v>
      </c>
      <c r="G174" s="5" t="s">
        <v>201</v>
      </c>
      <c r="H174" s="6">
        <v>46187.0</v>
      </c>
      <c r="I174" s="5" t="s">
        <v>202</v>
      </c>
      <c r="J174" s="5" t="s">
        <v>435</v>
      </c>
    </row>
    <row r="175">
      <c r="A175" s="5" t="s">
        <v>52</v>
      </c>
      <c r="B175" s="5" t="s">
        <v>47</v>
      </c>
      <c r="C175" s="5" t="s">
        <v>48</v>
      </c>
      <c r="D175" s="5" t="s">
        <v>199</v>
      </c>
      <c r="F175" s="5" t="s">
        <v>200</v>
      </c>
      <c r="G175" s="5" t="s">
        <v>201</v>
      </c>
      <c r="H175" s="6">
        <v>46187.0</v>
      </c>
      <c r="I175" s="5" t="s">
        <v>202</v>
      </c>
      <c r="J175" s="5" t="s">
        <v>426</v>
      </c>
    </row>
    <row r="176">
      <c r="A176" s="5" t="s">
        <v>71</v>
      </c>
      <c r="B176" s="5" t="s">
        <v>47</v>
      </c>
      <c r="C176" s="5" t="s">
        <v>70</v>
      </c>
      <c r="D176" s="5" t="s">
        <v>199</v>
      </c>
      <c r="F176" s="5" t="s">
        <v>200</v>
      </c>
      <c r="G176" s="5" t="s">
        <v>201</v>
      </c>
      <c r="H176" s="6">
        <v>46187.0</v>
      </c>
      <c r="I176" s="5" t="s">
        <v>202</v>
      </c>
      <c r="J176" s="5" t="s">
        <v>426</v>
      </c>
    </row>
    <row r="177">
      <c r="A177" s="5" t="s">
        <v>294</v>
      </c>
      <c r="B177" s="5" t="s">
        <v>292</v>
      </c>
      <c r="C177" s="5" t="s">
        <v>293</v>
      </c>
      <c r="D177" s="5" t="s">
        <v>199</v>
      </c>
      <c r="F177" s="5" t="s">
        <v>200</v>
      </c>
      <c r="G177" s="5" t="s">
        <v>201</v>
      </c>
      <c r="H177" s="6">
        <v>46187.0</v>
      </c>
      <c r="I177" s="5" t="s">
        <v>202</v>
      </c>
      <c r="J177" s="5" t="s">
        <v>435</v>
      </c>
    </row>
    <row r="178">
      <c r="A178" s="5" t="s">
        <v>315</v>
      </c>
      <c r="B178" s="5" t="s">
        <v>313</v>
      </c>
      <c r="C178" s="5" t="s">
        <v>314</v>
      </c>
      <c r="D178" s="5" t="s">
        <v>199</v>
      </c>
      <c r="F178" s="5" t="s">
        <v>200</v>
      </c>
      <c r="G178" s="5" t="s">
        <v>201</v>
      </c>
      <c r="H178" s="6">
        <v>46187.0</v>
      </c>
      <c r="I178" s="5" t="s">
        <v>202</v>
      </c>
      <c r="J178" s="5" t="s">
        <v>436</v>
      </c>
    </row>
    <row r="179">
      <c r="A179" s="5" t="s">
        <v>349</v>
      </c>
      <c r="B179" s="5" t="s">
        <v>335</v>
      </c>
      <c r="C179" s="5" t="s">
        <v>348</v>
      </c>
      <c r="D179" s="5" t="s">
        <v>199</v>
      </c>
      <c r="F179" s="5" t="s">
        <v>200</v>
      </c>
      <c r="G179" s="5" t="s">
        <v>201</v>
      </c>
      <c r="H179" s="6">
        <v>46187.0</v>
      </c>
      <c r="I179" s="5" t="s">
        <v>202</v>
      </c>
      <c r="J179" s="5" t="s">
        <v>426</v>
      </c>
    </row>
    <row r="180">
      <c r="A180" s="5" t="s">
        <v>339</v>
      </c>
      <c r="B180" s="5" t="s">
        <v>335</v>
      </c>
      <c r="C180" s="5" t="s">
        <v>336</v>
      </c>
      <c r="D180" s="5" t="s">
        <v>199</v>
      </c>
      <c r="F180" s="5" t="s">
        <v>200</v>
      </c>
      <c r="G180" s="5" t="s">
        <v>201</v>
      </c>
      <c r="H180" s="6">
        <v>46187.0</v>
      </c>
      <c r="I180" s="5" t="s">
        <v>202</v>
      </c>
      <c r="J180" s="5" t="s">
        <v>426</v>
      </c>
    </row>
    <row r="181">
      <c r="A181" s="5" t="s">
        <v>344</v>
      </c>
      <c r="B181" s="5" t="s">
        <v>335</v>
      </c>
      <c r="C181" s="5" t="s">
        <v>343</v>
      </c>
      <c r="D181" s="5" t="s">
        <v>199</v>
      </c>
      <c r="F181" s="5" t="s">
        <v>200</v>
      </c>
      <c r="G181" s="5" t="s">
        <v>201</v>
      </c>
      <c r="H181" s="6">
        <v>46187.0</v>
      </c>
      <c r="I181" s="5" t="s">
        <v>202</v>
      </c>
      <c r="J181" s="5" t="s">
        <v>426</v>
      </c>
    </row>
    <row r="183">
      <c r="A183" s="5" t="s">
        <v>180</v>
      </c>
      <c r="B183" s="5" t="s">
        <v>181</v>
      </c>
      <c r="C183" s="5" t="s">
        <v>182</v>
      </c>
      <c r="D183" s="5" t="s">
        <v>183</v>
      </c>
    </row>
    <row r="184">
      <c r="A184" s="5">
        <v>1.0</v>
      </c>
      <c r="B184" s="5" t="s">
        <v>279</v>
      </c>
      <c r="C184" s="5" t="s">
        <v>185</v>
      </c>
      <c r="D184" s="5" t="s">
        <v>437</v>
      </c>
    </row>
    <row r="185">
      <c r="A185" s="5">
        <v>2.0</v>
      </c>
      <c r="B185" s="5" t="s">
        <v>281</v>
      </c>
      <c r="C185" s="5" t="s">
        <v>185</v>
      </c>
      <c r="D185" s="5" t="s">
        <v>438</v>
      </c>
    </row>
    <row r="186">
      <c r="A186" s="5">
        <v>3.0</v>
      </c>
      <c r="B186" s="5" t="s">
        <v>439</v>
      </c>
      <c r="C186" s="5" t="s">
        <v>440</v>
      </c>
      <c r="D186" s="5" t="s">
        <v>441</v>
      </c>
    </row>
  </sheetData>
  <autoFilter ref="$A$38:$J$69"/>
  <hyperlinks>
    <hyperlink r:id="rId1" ref="F4"/>
    <hyperlink r:id="rId2" ref="F5"/>
    <hyperlink r:id="rId3" ref="F6"/>
    <hyperlink r:id="rId4" ref="F7"/>
    <hyperlink r:id="rId5" ref="F8"/>
    <hyperlink r:id="rId6" ref="F9"/>
    <hyperlink r:id="rId7" ref="F10"/>
    <hyperlink r:id="rId8" ref="F11"/>
    <hyperlink r:id="rId9" ref="F12"/>
    <hyperlink r:id="rId10" ref="F13"/>
    <hyperlink r:id="rId11" ref="F14"/>
    <hyperlink r:id="rId12" ref="F15"/>
    <hyperlink r:id="rId13" ref="F16"/>
    <hyperlink r:id="rId14" ref="F17"/>
    <hyperlink r:id="rId15" ref="F18"/>
    <hyperlink r:id="rId16" ref="F19"/>
    <hyperlink r:id="rId17" ref="F20"/>
    <hyperlink r:id="rId18" ref="F21"/>
    <hyperlink r:id="rId19" ref="F22"/>
    <hyperlink r:id="rId20" ref="F23"/>
    <hyperlink r:id="rId21" ref="F24"/>
    <hyperlink r:id="rId22" ref="F25"/>
    <hyperlink r:id="rId23" ref="F26"/>
    <hyperlink r:id="rId24" ref="F27"/>
    <hyperlink r:id="rId25" ref="F28"/>
    <hyperlink r:id="rId26" ref="F29"/>
    <hyperlink r:id="rId27" ref="F30"/>
    <hyperlink r:id="rId28" ref="F31"/>
    <hyperlink r:id="rId29" ref="F78"/>
    <hyperlink r:id="rId30" ref="F79"/>
    <hyperlink r:id="rId31" ref="F80"/>
    <hyperlink r:id="rId32" ref="F81"/>
    <hyperlink r:id="rId33" ref="F82"/>
    <hyperlink r:id="rId34" ref="F83"/>
    <hyperlink r:id="rId35" ref="F84"/>
    <hyperlink r:id="rId36" ref="F85"/>
    <hyperlink r:id="rId37" ref="F86"/>
    <hyperlink r:id="rId38" ref="F87"/>
    <hyperlink r:id="rId39" ref="F88"/>
    <hyperlink r:id="rId40" ref="F89"/>
    <hyperlink r:id="rId41" ref="F90"/>
    <hyperlink r:id="rId42" ref="F91"/>
    <hyperlink r:id="rId43" ref="F92"/>
    <hyperlink r:id="rId44" ref="F93"/>
    <hyperlink r:id="rId45" ref="F94"/>
    <hyperlink r:id="rId46" ref="F95"/>
    <hyperlink r:id="rId47" ref="F96"/>
    <hyperlink r:id="rId48" ref="F97"/>
    <hyperlink r:id="rId49" ref="F98"/>
    <hyperlink r:id="rId50" ref="F99"/>
    <hyperlink r:id="rId51" ref="F100"/>
    <hyperlink r:id="rId52" ref="F101"/>
    <hyperlink r:id="rId53" ref="F102"/>
    <hyperlink r:id="rId54" ref="F103"/>
    <hyperlink r:id="rId55" ref="F104"/>
    <hyperlink r:id="rId56" ref="F105"/>
    <hyperlink r:id="rId57" ref="F106"/>
  </hyperlinks>
  <drawing r:id="rId58"/>
</worksheet>
</file>